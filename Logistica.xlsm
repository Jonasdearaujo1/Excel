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9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358088277a25885/Área de Trabalho/Ferramenatas de Ciência de Dados/Projeto_Excel/"/>
    </mc:Choice>
  </mc:AlternateContent>
  <xr:revisionPtr revIDLastSave="0" documentId="8_{7317F870-4C95-42ED-9477-A8D925150093}" xr6:coauthVersionLast="36" xr6:coauthVersionMax="36" xr10:uidLastSave="{00000000-0000-0000-0000-000000000000}"/>
  <bookViews>
    <workbookView xWindow="0" yWindow="0" windowWidth="15345" windowHeight="4380" firstSheet="4" activeTab="11" xr2:uid="{09FB0B8B-B85C-4983-AF6F-50FAA8106266}"/>
  </bookViews>
  <sheets>
    <sheet name="Menu" sheetId="1" r:id="rId1"/>
    <sheet name="Despesas" sheetId="2" r:id="rId2"/>
    <sheet name="Mercadorias" sheetId="3" r:id="rId3"/>
    <sheet name="Investimento" sheetId="4" r:id="rId4"/>
    <sheet name="Estoque" sheetId="5" r:id="rId5"/>
    <sheet name="Resultados" sheetId="7" r:id="rId6"/>
    <sheet name="Vendas" sheetId="6" r:id="rId7"/>
    <sheet name="Semana 1" sheetId="10" r:id="rId8"/>
    <sheet name="Analise_1" sheetId="15" r:id="rId9"/>
    <sheet name="Semana 2" sheetId="11" r:id="rId10"/>
    <sheet name="Analise_2" sheetId="16" r:id="rId11"/>
    <sheet name="Semana 3" sheetId="12" r:id="rId12"/>
    <sheet name="Analise_3" sheetId="17" r:id="rId13"/>
    <sheet name="Semana 4" sheetId="13" r:id="rId14"/>
    <sheet name="Analise_4" sheetId="18" r:id="rId15"/>
    <sheet name="Semana 5" sheetId="14" r:id="rId16"/>
    <sheet name="Analise_5" sheetId="19" r:id="rId17"/>
    <sheet name="Calculos" sheetId="8" r:id="rId18"/>
  </sheets>
  <definedNames>
    <definedName name="_xlnm._FilterDatabase" localSheetId="17" hidden="1">Calculos!$F$3:$I$3</definedName>
  </definedNames>
  <calcPr calcId="179021"/>
  <pivotCaches>
    <pivotCache cacheId="21" r:id="rId19"/>
    <pivotCache cacheId="24" r:id="rId20"/>
    <pivotCache cacheId="27" r:id="rId21"/>
    <pivotCache cacheId="30" r:id="rId22"/>
    <pivotCache cacheId="33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5" l="1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F18" i="7"/>
  <c r="F14" i="7"/>
  <c r="M39" i="14" l="1"/>
  <c r="M39" i="13"/>
  <c r="M39" i="12"/>
  <c r="M39" i="11"/>
  <c r="M39" i="10"/>
  <c r="E14" i="6"/>
  <c r="E13" i="6"/>
  <c r="F9" i="10"/>
  <c r="C17" i="6"/>
  <c r="L30" i="14"/>
  <c r="H30" i="14"/>
  <c r="I30" i="14" s="1"/>
  <c r="F30" i="14"/>
  <c r="N29" i="14"/>
  <c r="L29" i="14"/>
  <c r="H29" i="14"/>
  <c r="I29" i="14" s="1"/>
  <c r="F29" i="14"/>
  <c r="N28" i="14"/>
  <c r="L28" i="14"/>
  <c r="H28" i="14"/>
  <c r="I28" i="14" s="1"/>
  <c r="F28" i="14"/>
  <c r="L27" i="14"/>
  <c r="H27" i="14"/>
  <c r="I27" i="14" s="1"/>
  <c r="F27" i="14"/>
  <c r="L26" i="14"/>
  <c r="H26" i="14"/>
  <c r="I26" i="14" s="1"/>
  <c r="F26" i="14"/>
  <c r="L25" i="14"/>
  <c r="H25" i="14"/>
  <c r="I25" i="14" s="1"/>
  <c r="F25" i="14"/>
  <c r="N24" i="14"/>
  <c r="L24" i="14"/>
  <c r="H24" i="14"/>
  <c r="I24" i="14" s="1"/>
  <c r="F24" i="14"/>
  <c r="L23" i="14"/>
  <c r="H23" i="14"/>
  <c r="I23" i="14" s="1"/>
  <c r="F23" i="14"/>
  <c r="L22" i="14"/>
  <c r="H22" i="14"/>
  <c r="I22" i="14" s="1"/>
  <c r="F22" i="14"/>
  <c r="N21" i="14"/>
  <c r="L21" i="14"/>
  <c r="H21" i="14"/>
  <c r="I21" i="14" s="1"/>
  <c r="F21" i="14"/>
  <c r="N20" i="14"/>
  <c r="L20" i="14"/>
  <c r="H20" i="14"/>
  <c r="I20" i="14" s="1"/>
  <c r="F20" i="14"/>
  <c r="L19" i="14"/>
  <c r="H19" i="14"/>
  <c r="I19" i="14" s="1"/>
  <c r="F19" i="14"/>
  <c r="L18" i="14"/>
  <c r="H18" i="14"/>
  <c r="I18" i="14" s="1"/>
  <c r="F18" i="14"/>
  <c r="L17" i="14"/>
  <c r="H17" i="14"/>
  <c r="I17" i="14" s="1"/>
  <c r="F17" i="14"/>
  <c r="N16" i="14"/>
  <c r="L16" i="14"/>
  <c r="H16" i="14"/>
  <c r="I16" i="14" s="1"/>
  <c r="F16" i="14"/>
  <c r="N15" i="14"/>
  <c r="L15" i="14"/>
  <c r="H15" i="14"/>
  <c r="I15" i="14" s="1"/>
  <c r="F15" i="14"/>
  <c r="N14" i="14"/>
  <c r="L14" i="14"/>
  <c r="H14" i="14"/>
  <c r="I14" i="14" s="1"/>
  <c r="F14" i="14"/>
  <c r="L13" i="14"/>
  <c r="H13" i="14"/>
  <c r="I13" i="14" s="1"/>
  <c r="F13" i="14"/>
  <c r="N12" i="14"/>
  <c r="L12" i="14"/>
  <c r="H12" i="14"/>
  <c r="I12" i="14" s="1"/>
  <c r="M12" i="14" s="1"/>
  <c r="F12" i="14"/>
  <c r="L11" i="14"/>
  <c r="H11" i="14"/>
  <c r="I11" i="14" s="1"/>
  <c r="F11" i="14"/>
  <c r="L10" i="14"/>
  <c r="H10" i="14"/>
  <c r="I10" i="14" s="1"/>
  <c r="F10" i="14"/>
  <c r="L9" i="14"/>
  <c r="H9" i="14"/>
  <c r="I9" i="14" s="1"/>
  <c r="M9" i="14" s="1"/>
  <c r="F9" i="14"/>
  <c r="N8" i="14"/>
  <c r="L8" i="14"/>
  <c r="H8" i="14"/>
  <c r="I8" i="14" s="1"/>
  <c r="F8" i="14"/>
  <c r="N7" i="14"/>
  <c r="L7" i="14"/>
  <c r="H7" i="14"/>
  <c r="I7" i="14" s="1"/>
  <c r="F7" i="14"/>
  <c r="N6" i="14"/>
  <c r="L6" i="14"/>
  <c r="H6" i="14"/>
  <c r="I6" i="14" s="1"/>
  <c r="F6" i="14"/>
  <c r="L30" i="13"/>
  <c r="H30" i="13"/>
  <c r="I30" i="13" s="1"/>
  <c r="M30" i="13" s="1"/>
  <c r="F30" i="13"/>
  <c r="N29" i="13"/>
  <c r="L29" i="13"/>
  <c r="H29" i="13"/>
  <c r="I29" i="13" s="1"/>
  <c r="M29" i="13" s="1"/>
  <c r="F29" i="13"/>
  <c r="N28" i="13"/>
  <c r="L28" i="13"/>
  <c r="H28" i="13"/>
  <c r="I28" i="13" s="1"/>
  <c r="M28" i="13" s="1"/>
  <c r="N30" i="13" s="1"/>
  <c r="F28" i="13"/>
  <c r="L27" i="13"/>
  <c r="H27" i="13"/>
  <c r="I27" i="13" s="1"/>
  <c r="M27" i="13" s="1"/>
  <c r="N27" i="13" s="1"/>
  <c r="F27" i="13"/>
  <c r="L26" i="13"/>
  <c r="H26" i="13"/>
  <c r="I26" i="13" s="1"/>
  <c r="M26" i="13" s="1"/>
  <c r="N26" i="13" s="1"/>
  <c r="F26" i="13"/>
  <c r="L25" i="13"/>
  <c r="H25" i="13"/>
  <c r="I25" i="13" s="1"/>
  <c r="M25" i="13" s="1"/>
  <c r="F25" i="13"/>
  <c r="N24" i="13"/>
  <c r="L24" i="13"/>
  <c r="H24" i="13"/>
  <c r="I24" i="13" s="1"/>
  <c r="M24" i="13" s="1"/>
  <c r="F24" i="13"/>
  <c r="L23" i="13"/>
  <c r="H23" i="13"/>
  <c r="I23" i="13" s="1"/>
  <c r="M23" i="13" s="1"/>
  <c r="N23" i="13" s="1"/>
  <c r="F23" i="13"/>
  <c r="L22" i="13"/>
  <c r="H22" i="13"/>
  <c r="I22" i="13" s="1"/>
  <c r="M22" i="13" s="1"/>
  <c r="F22" i="13"/>
  <c r="N21" i="13"/>
  <c r="L21" i="13"/>
  <c r="H21" i="13"/>
  <c r="I21" i="13" s="1"/>
  <c r="M21" i="13" s="1"/>
  <c r="F21" i="13"/>
  <c r="N20" i="13"/>
  <c r="L20" i="13"/>
  <c r="H20" i="13"/>
  <c r="I20" i="13" s="1"/>
  <c r="M20" i="13" s="1"/>
  <c r="N22" i="13" s="1"/>
  <c r="F20" i="13"/>
  <c r="L19" i="13"/>
  <c r="H19" i="13"/>
  <c r="I19" i="13" s="1"/>
  <c r="M19" i="13" s="1"/>
  <c r="N19" i="13" s="1"/>
  <c r="F19" i="13"/>
  <c r="L18" i="13"/>
  <c r="H18" i="13"/>
  <c r="I18" i="13" s="1"/>
  <c r="M18" i="13" s="1"/>
  <c r="N18" i="13" s="1"/>
  <c r="F18" i="13"/>
  <c r="L17" i="13"/>
  <c r="H17" i="13"/>
  <c r="I17" i="13" s="1"/>
  <c r="M17" i="13" s="1"/>
  <c r="F17" i="13"/>
  <c r="N16" i="13"/>
  <c r="L16" i="13"/>
  <c r="H16" i="13"/>
  <c r="I16" i="13" s="1"/>
  <c r="M16" i="13" s="1"/>
  <c r="F16" i="13"/>
  <c r="N15" i="13"/>
  <c r="L15" i="13"/>
  <c r="H15" i="13"/>
  <c r="I15" i="13" s="1"/>
  <c r="M15" i="13" s="1"/>
  <c r="F15" i="13"/>
  <c r="N14" i="13"/>
  <c r="L14" i="13"/>
  <c r="H14" i="13"/>
  <c r="I14" i="13" s="1"/>
  <c r="M14" i="13" s="1"/>
  <c r="N17" i="13" s="1"/>
  <c r="F14" i="13"/>
  <c r="L13" i="13"/>
  <c r="H13" i="13"/>
  <c r="I13" i="13" s="1"/>
  <c r="M13" i="13" s="1"/>
  <c r="F13" i="13"/>
  <c r="N12" i="13"/>
  <c r="L12" i="13"/>
  <c r="H12" i="13"/>
  <c r="I12" i="13" s="1"/>
  <c r="M12" i="13" s="1"/>
  <c r="N13" i="13" s="1"/>
  <c r="F12" i="13"/>
  <c r="L11" i="13"/>
  <c r="H11" i="13"/>
  <c r="I11" i="13" s="1"/>
  <c r="M11" i="13" s="1"/>
  <c r="N11" i="13" s="1"/>
  <c r="F11" i="13"/>
  <c r="L10" i="13"/>
  <c r="H10" i="13"/>
  <c r="I10" i="13" s="1"/>
  <c r="M10" i="13" s="1"/>
  <c r="N10" i="13" s="1"/>
  <c r="F10" i="13"/>
  <c r="L9" i="13"/>
  <c r="H9" i="13"/>
  <c r="I9" i="13" s="1"/>
  <c r="M9" i="13" s="1"/>
  <c r="F9" i="13"/>
  <c r="N8" i="13"/>
  <c r="L8" i="13"/>
  <c r="H8" i="13"/>
  <c r="I8" i="13" s="1"/>
  <c r="M8" i="13" s="1"/>
  <c r="F8" i="13"/>
  <c r="N7" i="13"/>
  <c r="L7" i="13"/>
  <c r="H7" i="13"/>
  <c r="I7" i="13" s="1"/>
  <c r="M7" i="13" s="1"/>
  <c r="F7" i="13"/>
  <c r="N6" i="13"/>
  <c r="L6" i="13"/>
  <c r="M36" i="13" s="1"/>
  <c r="H6" i="13"/>
  <c r="I6" i="13" s="1"/>
  <c r="M6" i="13" s="1"/>
  <c r="N9" i="13" s="1"/>
  <c r="F6" i="13"/>
  <c r="L30" i="11"/>
  <c r="H30" i="11"/>
  <c r="I30" i="11" s="1"/>
  <c r="M30" i="11" s="1"/>
  <c r="F30" i="11"/>
  <c r="N29" i="11"/>
  <c r="L29" i="11"/>
  <c r="H29" i="11"/>
  <c r="I29" i="11" s="1"/>
  <c r="M29" i="11" s="1"/>
  <c r="F29" i="11"/>
  <c r="N28" i="11"/>
  <c r="L28" i="11"/>
  <c r="H28" i="11"/>
  <c r="I28" i="11" s="1"/>
  <c r="M28" i="11" s="1"/>
  <c r="N30" i="11" s="1"/>
  <c r="F28" i="11"/>
  <c r="L27" i="11"/>
  <c r="H27" i="11"/>
  <c r="I27" i="11" s="1"/>
  <c r="M27" i="11" s="1"/>
  <c r="N27" i="11" s="1"/>
  <c r="F27" i="11"/>
  <c r="L26" i="11"/>
  <c r="H26" i="11"/>
  <c r="I26" i="11" s="1"/>
  <c r="M26" i="11" s="1"/>
  <c r="N26" i="11" s="1"/>
  <c r="F26" i="11"/>
  <c r="L25" i="11"/>
  <c r="H25" i="11"/>
  <c r="I25" i="11" s="1"/>
  <c r="M25" i="11" s="1"/>
  <c r="F25" i="11"/>
  <c r="N24" i="11"/>
  <c r="L24" i="11"/>
  <c r="H24" i="11"/>
  <c r="I24" i="11" s="1"/>
  <c r="M24" i="11" s="1"/>
  <c r="N25" i="11" s="1"/>
  <c r="F24" i="11"/>
  <c r="L23" i="11"/>
  <c r="H23" i="11"/>
  <c r="I23" i="11" s="1"/>
  <c r="M23" i="11" s="1"/>
  <c r="N23" i="11" s="1"/>
  <c r="F23" i="11"/>
  <c r="L22" i="11"/>
  <c r="H22" i="11"/>
  <c r="I22" i="11" s="1"/>
  <c r="M22" i="11" s="1"/>
  <c r="F22" i="11"/>
  <c r="N21" i="11"/>
  <c r="L21" i="11"/>
  <c r="H21" i="11"/>
  <c r="I21" i="11" s="1"/>
  <c r="M21" i="11" s="1"/>
  <c r="F21" i="11"/>
  <c r="N20" i="11"/>
  <c r="L20" i="11"/>
  <c r="H20" i="11"/>
  <c r="I20" i="11" s="1"/>
  <c r="M20" i="11" s="1"/>
  <c r="N22" i="11" s="1"/>
  <c r="F20" i="11"/>
  <c r="L19" i="11"/>
  <c r="H19" i="11"/>
  <c r="I19" i="11" s="1"/>
  <c r="M19" i="11" s="1"/>
  <c r="N19" i="11" s="1"/>
  <c r="F19" i="11"/>
  <c r="L18" i="11"/>
  <c r="H18" i="11"/>
  <c r="I18" i="11" s="1"/>
  <c r="M18" i="11" s="1"/>
  <c r="N18" i="11" s="1"/>
  <c r="F18" i="11"/>
  <c r="L17" i="11"/>
  <c r="H17" i="11"/>
  <c r="I17" i="11" s="1"/>
  <c r="M17" i="11" s="1"/>
  <c r="F17" i="11"/>
  <c r="N16" i="11"/>
  <c r="L16" i="11"/>
  <c r="H16" i="11"/>
  <c r="I16" i="11" s="1"/>
  <c r="M16" i="11" s="1"/>
  <c r="F16" i="11"/>
  <c r="N15" i="11"/>
  <c r="L15" i="11"/>
  <c r="H15" i="11"/>
  <c r="I15" i="11" s="1"/>
  <c r="M15" i="11" s="1"/>
  <c r="F15" i="11"/>
  <c r="N14" i="11"/>
  <c r="L14" i="11"/>
  <c r="H14" i="11"/>
  <c r="I14" i="11" s="1"/>
  <c r="M14" i="11" s="1"/>
  <c r="N17" i="11" s="1"/>
  <c r="F14" i="11"/>
  <c r="L13" i="11"/>
  <c r="H13" i="11"/>
  <c r="I13" i="11" s="1"/>
  <c r="M13" i="11" s="1"/>
  <c r="F13" i="11"/>
  <c r="N12" i="11"/>
  <c r="L12" i="11"/>
  <c r="H12" i="11"/>
  <c r="I12" i="11" s="1"/>
  <c r="M12" i="11" s="1"/>
  <c r="N13" i="11" s="1"/>
  <c r="F12" i="11"/>
  <c r="L11" i="11"/>
  <c r="H11" i="11"/>
  <c r="I11" i="11" s="1"/>
  <c r="M11" i="11" s="1"/>
  <c r="N11" i="11" s="1"/>
  <c r="F11" i="11"/>
  <c r="L10" i="11"/>
  <c r="H10" i="11"/>
  <c r="I10" i="11" s="1"/>
  <c r="M10" i="11" s="1"/>
  <c r="N10" i="11" s="1"/>
  <c r="F10" i="11"/>
  <c r="L9" i="11"/>
  <c r="H9" i="11"/>
  <c r="I9" i="11" s="1"/>
  <c r="M9" i="11" s="1"/>
  <c r="F9" i="11"/>
  <c r="N8" i="11"/>
  <c r="L8" i="11"/>
  <c r="H8" i="11"/>
  <c r="I8" i="11" s="1"/>
  <c r="M8" i="11" s="1"/>
  <c r="F8" i="11"/>
  <c r="N7" i="11"/>
  <c r="L7" i="11"/>
  <c r="H7" i="11"/>
  <c r="I7" i="11" s="1"/>
  <c r="M7" i="11" s="1"/>
  <c r="F7" i="11"/>
  <c r="N6" i="11"/>
  <c r="L6" i="11"/>
  <c r="M36" i="11" s="1"/>
  <c r="H6" i="11"/>
  <c r="I6" i="11" s="1"/>
  <c r="M6" i="11" s="1"/>
  <c r="N9" i="11" s="1"/>
  <c r="F6" i="11"/>
  <c r="L30" i="12"/>
  <c r="H30" i="12"/>
  <c r="I30" i="12" s="1"/>
  <c r="M30" i="12" s="1"/>
  <c r="F30" i="12"/>
  <c r="N29" i="12"/>
  <c r="L29" i="12"/>
  <c r="I29" i="12"/>
  <c r="M29" i="12" s="1"/>
  <c r="H29" i="12"/>
  <c r="F29" i="12"/>
  <c r="N28" i="12"/>
  <c r="L28" i="12"/>
  <c r="H28" i="12"/>
  <c r="I28" i="12" s="1"/>
  <c r="M28" i="12" s="1"/>
  <c r="N30" i="12" s="1"/>
  <c r="F28" i="12"/>
  <c r="L27" i="12"/>
  <c r="I27" i="12"/>
  <c r="M27" i="12" s="1"/>
  <c r="N27" i="12" s="1"/>
  <c r="H27" i="12"/>
  <c r="F27" i="12"/>
  <c r="L26" i="12"/>
  <c r="H26" i="12"/>
  <c r="I26" i="12" s="1"/>
  <c r="M26" i="12" s="1"/>
  <c r="N26" i="12" s="1"/>
  <c r="F26" i="12"/>
  <c r="L25" i="12"/>
  <c r="I25" i="12"/>
  <c r="M25" i="12" s="1"/>
  <c r="H25" i="12"/>
  <c r="F25" i="12"/>
  <c r="N24" i="12"/>
  <c r="L24" i="12"/>
  <c r="H24" i="12"/>
  <c r="I24" i="12" s="1"/>
  <c r="M24" i="12" s="1"/>
  <c r="N25" i="12" s="1"/>
  <c r="F24" i="12"/>
  <c r="L23" i="12"/>
  <c r="I23" i="12"/>
  <c r="M23" i="12" s="1"/>
  <c r="N23" i="12" s="1"/>
  <c r="H23" i="12"/>
  <c r="F23" i="12"/>
  <c r="L22" i="12"/>
  <c r="H22" i="12"/>
  <c r="I22" i="12" s="1"/>
  <c r="M22" i="12" s="1"/>
  <c r="F22" i="12"/>
  <c r="N21" i="12"/>
  <c r="L21" i="12"/>
  <c r="I21" i="12"/>
  <c r="M21" i="12" s="1"/>
  <c r="H21" i="12"/>
  <c r="F21" i="12"/>
  <c r="N20" i="12"/>
  <c r="L20" i="12"/>
  <c r="H20" i="12"/>
  <c r="I20" i="12" s="1"/>
  <c r="M20" i="12" s="1"/>
  <c r="N22" i="12" s="1"/>
  <c r="F20" i="12"/>
  <c r="L19" i="12"/>
  <c r="I19" i="12"/>
  <c r="M19" i="12" s="1"/>
  <c r="N19" i="12" s="1"/>
  <c r="H19" i="12"/>
  <c r="F19" i="12"/>
  <c r="L18" i="12"/>
  <c r="H18" i="12"/>
  <c r="I18" i="12" s="1"/>
  <c r="M18" i="12" s="1"/>
  <c r="N18" i="12" s="1"/>
  <c r="F18" i="12"/>
  <c r="L17" i="12"/>
  <c r="I17" i="12"/>
  <c r="M17" i="12" s="1"/>
  <c r="H17" i="12"/>
  <c r="F17" i="12"/>
  <c r="N16" i="12"/>
  <c r="L16" i="12"/>
  <c r="H16" i="12"/>
  <c r="I16" i="12" s="1"/>
  <c r="M16" i="12" s="1"/>
  <c r="F16" i="12"/>
  <c r="N15" i="12"/>
  <c r="L15" i="12"/>
  <c r="I15" i="12"/>
  <c r="M15" i="12" s="1"/>
  <c r="H15" i="12"/>
  <c r="F15" i="12"/>
  <c r="N14" i="12"/>
  <c r="L14" i="12"/>
  <c r="H14" i="12"/>
  <c r="I14" i="12" s="1"/>
  <c r="M14" i="12" s="1"/>
  <c r="N17" i="12" s="1"/>
  <c r="F14" i="12"/>
  <c r="L13" i="12"/>
  <c r="I13" i="12"/>
  <c r="M13" i="12" s="1"/>
  <c r="H13" i="12"/>
  <c r="F13" i="12"/>
  <c r="N12" i="12"/>
  <c r="L12" i="12"/>
  <c r="H12" i="12"/>
  <c r="I12" i="12" s="1"/>
  <c r="M12" i="12" s="1"/>
  <c r="N13" i="12" s="1"/>
  <c r="F12" i="12"/>
  <c r="L11" i="12"/>
  <c r="I11" i="12"/>
  <c r="M11" i="12" s="1"/>
  <c r="N11" i="12" s="1"/>
  <c r="H11" i="12"/>
  <c r="F11" i="12"/>
  <c r="L10" i="12"/>
  <c r="H10" i="12"/>
  <c r="I10" i="12" s="1"/>
  <c r="M10" i="12" s="1"/>
  <c r="N10" i="12" s="1"/>
  <c r="F10" i="12"/>
  <c r="L9" i="12"/>
  <c r="I9" i="12"/>
  <c r="M9" i="12" s="1"/>
  <c r="H9" i="12"/>
  <c r="F9" i="12"/>
  <c r="N8" i="12"/>
  <c r="L8" i="12"/>
  <c r="H8" i="12"/>
  <c r="I8" i="12" s="1"/>
  <c r="M8" i="12" s="1"/>
  <c r="F8" i="12"/>
  <c r="N7" i="12"/>
  <c r="L7" i="12"/>
  <c r="I7" i="12"/>
  <c r="M7" i="12" s="1"/>
  <c r="H7" i="12"/>
  <c r="F7" i="12"/>
  <c r="N6" i="12"/>
  <c r="L6" i="12"/>
  <c r="M36" i="12" s="1"/>
  <c r="H6" i="12"/>
  <c r="I6" i="12" s="1"/>
  <c r="M6" i="12" s="1"/>
  <c r="N9" i="12" s="1"/>
  <c r="F6" i="12"/>
  <c r="H30" i="10"/>
  <c r="I30" i="10" s="1"/>
  <c r="F30" i="10"/>
  <c r="N29" i="10"/>
  <c r="H29" i="10"/>
  <c r="I29" i="10" s="1"/>
  <c r="F29" i="10"/>
  <c r="N28" i="10"/>
  <c r="H28" i="10"/>
  <c r="I28" i="10" s="1"/>
  <c r="M28" i="10" s="1"/>
  <c r="F28" i="10"/>
  <c r="H27" i="10"/>
  <c r="I27" i="10" s="1"/>
  <c r="M27" i="10" s="1"/>
  <c r="N27" i="10" s="1"/>
  <c r="F27" i="10"/>
  <c r="H26" i="10"/>
  <c r="I26" i="10" s="1"/>
  <c r="M26" i="10" s="1"/>
  <c r="N26" i="10" s="1"/>
  <c r="F26" i="10"/>
  <c r="H25" i="10"/>
  <c r="I25" i="10" s="1"/>
  <c r="F25" i="10"/>
  <c r="N24" i="10"/>
  <c r="H24" i="10"/>
  <c r="I24" i="10" s="1"/>
  <c r="F24" i="10"/>
  <c r="H23" i="10"/>
  <c r="I23" i="10" s="1"/>
  <c r="M23" i="10" s="1"/>
  <c r="N23" i="10" s="1"/>
  <c r="F23" i="10"/>
  <c r="H22" i="10"/>
  <c r="I22" i="10" s="1"/>
  <c r="M22" i="10" s="1"/>
  <c r="F22" i="10"/>
  <c r="N21" i="10"/>
  <c r="H21" i="10"/>
  <c r="I21" i="10" s="1"/>
  <c r="M21" i="10" s="1"/>
  <c r="F21" i="10"/>
  <c r="N20" i="10"/>
  <c r="H20" i="10"/>
  <c r="I20" i="10" s="1"/>
  <c r="M20" i="10" s="1"/>
  <c r="F20" i="10"/>
  <c r="H19" i="10"/>
  <c r="I19" i="10" s="1"/>
  <c r="F19" i="10"/>
  <c r="H18" i="10"/>
  <c r="I18" i="10" s="1"/>
  <c r="M18" i="10" s="1"/>
  <c r="N18" i="10" s="1"/>
  <c r="F18" i="10"/>
  <c r="H17" i="10"/>
  <c r="I17" i="10" s="1"/>
  <c r="M17" i="10" s="1"/>
  <c r="F17" i="10"/>
  <c r="N16" i="10"/>
  <c r="H16" i="10"/>
  <c r="I16" i="10" s="1"/>
  <c r="M16" i="10" s="1"/>
  <c r="F16" i="10"/>
  <c r="N15" i="10"/>
  <c r="H15" i="10"/>
  <c r="I15" i="10" s="1"/>
  <c r="M15" i="10" s="1"/>
  <c r="F15" i="10"/>
  <c r="N14" i="10"/>
  <c r="H14" i="10"/>
  <c r="I14" i="10" s="1"/>
  <c r="M14" i="10" s="1"/>
  <c r="F14" i="10"/>
  <c r="H13" i="10"/>
  <c r="I13" i="10" s="1"/>
  <c r="M13" i="10" s="1"/>
  <c r="F13" i="10"/>
  <c r="N12" i="10"/>
  <c r="H12" i="10"/>
  <c r="I12" i="10" s="1"/>
  <c r="M12" i="10" s="1"/>
  <c r="F12" i="10"/>
  <c r="H11" i="10"/>
  <c r="I11" i="10" s="1"/>
  <c r="M11" i="10" s="1"/>
  <c r="N11" i="10" s="1"/>
  <c r="F11" i="10"/>
  <c r="H10" i="10"/>
  <c r="I10" i="10" s="1"/>
  <c r="M10" i="10" s="1"/>
  <c r="N10" i="10" s="1"/>
  <c r="F10" i="10"/>
  <c r="H9" i="10"/>
  <c r="I9" i="10" s="1"/>
  <c r="M9" i="10" s="1"/>
  <c r="N8" i="10"/>
  <c r="H8" i="10"/>
  <c r="I8" i="10" s="1"/>
  <c r="M8" i="10" s="1"/>
  <c r="F8" i="10"/>
  <c r="N7" i="10"/>
  <c r="H7" i="10"/>
  <c r="I7" i="10" s="1"/>
  <c r="M7" i="10" s="1"/>
  <c r="F7" i="10"/>
  <c r="N6" i="10"/>
  <c r="M36" i="10"/>
  <c r="H6" i="10"/>
  <c r="I6" i="10" s="1"/>
  <c r="M6" i="10" s="1"/>
  <c r="F6" i="10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E7" i="5"/>
  <c r="G7" i="5" s="1"/>
  <c r="H7" i="5" s="1"/>
  <c r="E8" i="5"/>
  <c r="G8" i="5" s="1"/>
  <c r="H8" i="5" s="1"/>
  <c r="E9" i="5"/>
  <c r="G9" i="5" s="1"/>
  <c r="H9" i="5" s="1"/>
  <c r="E10" i="5"/>
  <c r="G10" i="5" s="1"/>
  <c r="H10" i="5" s="1"/>
  <c r="E11" i="5"/>
  <c r="E12" i="5"/>
  <c r="G12" i="5" s="1"/>
  <c r="H12" i="5" s="1"/>
  <c r="E13" i="5"/>
  <c r="G13" i="5" s="1"/>
  <c r="H13" i="5" s="1"/>
  <c r="E14" i="5"/>
  <c r="G14" i="5" s="1"/>
  <c r="H14" i="5" s="1"/>
  <c r="E15" i="5"/>
  <c r="G15" i="5" s="1"/>
  <c r="H15" i="5" s="1"/>
  <c r="E16" i="5"/>
  <c r="G16" i="5" s="1"/>
  <c r="H16" i="5" s="1"/>
  <c r="E17" i="5"/>
  <c r="G17" i="5" s="1"/>
  <c r="H17" i="5" s="1"/>
  <c r="E18" i="5"/>
  <c r="G18" i="5" s="1"/>
  <c r="H18" i="5" s="1"/>
  <c r="E19" i="5"/>
  <c r="G19" i="5" s="1"/>
  <c r="H19" i="5" s="1"/>
  <c r="E20" i="5"/>
  <c r="G20" i="5" s="1"/>
  <c r="H20" i="5" s="1"/>
  <c r="E21" i="5"/>
  <c r="G21" i="5" s="1"/>
  <c r="H21" i="5" s="1"/>
  <c r="E22" i="5"/>
  <c r="G22" i="5" s="1"/>
  <c r="H22" i="5" s="1"/>
  <c r="E23" i="5"/>
  <c r="G23" i="5" s="1"/>
  <c r="H23" i="5" s="1"/>
  <c r="E24" i="5"/>
  <c r="G24" i="5" s="1"/>
  <c r="H24" i="5" s="1"/>
  <c r="E25" i="5"/>
  <c r="G25" i="5" s="1"/>
  <c r="H25" i="5" s="1"/>
  <c r="E26" i="5"/>
  <c r="G26" i="5" s="1"/>
  <c r="H26" i="5" s="1"/>
  <c r="E27" i="5"/>
  <c r="G27" i="5" s="1"/>
  <c r="H27" i="5" s="1"/>
  <c r="E28" i="5"/>
  <c r="G28" i="5" s="1"/>
  <c r="H28" i="5" s="1"/>
  <c r="E29" i="5"/>
  <c r="G29" i="5" s="1"/>
  <c r="H29" i="5" s="1"/>
  <c r="E30" i="5"/>
  <c r="G30" i="5" s="1"/>
  <c r="H30" i="5" s="1"/>
  <c r="G11" i="5"/>
  <c r="H11" i="5" s="1"/>
  <c r="G5" i="3"/>
  <c r="I5" i="3" s="1"/>
  <c r="G6" i="3"/>
  <c r="I6" i="3" s="1"/>
  <c r="G7" i="3"/>
  <c r="I7" i="3" s="1"/>
  <c r="G8" i="3"/>
  <c r="I8" i="3" s="1"/>
  <c r="G9" i="3"/>
  <c r="I9" i="3" s="1"/>
  <c r="G10" i="3"/>
  <c r="I10" i="3" s="1"/>
  <c r="G11" i="3"/>
  <c r="I11" i="3" s="1"/>
  <c r="G12" i="3"/>
  <c r="I12" i="3" s="1"/>
  <c r="G13" i="3"/>
  <c r="I13" i="3" s="1"/>
  <c r="G14" i="3"/>
  <c r="I14" i="3" s="1"/>
  <c r="G15" i="3"/>
  <c r="I15" i="3" s="1"/>
  <c r="G16" i="3"/>
  <c r="I16" i="3" s="1"/>
  <c r="G17" i="3"/>
  <c r="I17" i="3" s="1"/>
  <c r="G18" i="3"/>
  <c r="I18" i="3" s="1"/>
  <c r="G19" i="3"/>
  <c r="I19" i="3" s="1"/>
  <c r="G20" i="3"/>
  <c r="I20" i="3" s="1"/>
  <c r="G21" i="3"/>
  <c r="I21" i="3" s="1"/>
  <c r="G22" i="3"/>
  <c r="I22" i="3" s="1"/>
  <c r="G23" i="3"/>
  <c r="I23" i="3" s="1"/>
  <c r="G24" i="3"/>
  <c r="I24" i="3" s="1"/>
  <c r="G25" i="3"/>
  <c r="I25" i="3" s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15" i="4"/>
  <c r="F31" i="2"/>
  <c r="F21" i="2"/>
  <c r="F14" i="2"/>
  <c r="F6" i="2"/>
  <c r="M17" i="14" l="1"/>
  <c r="M27" i="14"/>
  <c r="N27" i="14" s="1"/>
  <c r="M11" i="14"/>
  <c r="N11" i="14" s="1"/>
  <c r="M6" i="14"/>
  <c r="M7" i="14"/>
  <c r="M28" i="14"/>
  <c r="M29" i="14"/>
  <c r="N13" i="10"/>
  <c r="N22" i="10"/>
  <c r="N17" i="10"/>
  <c r="N9" i="10"/>
  <c r="E31" i="6"/>
  <c r="M19" i="10"/>
  <c r="N19" i="10" s="1"/>
  <c r="M24" i="10"/>
  <c r="M25" i="10"/>
  <c r="M29" i="10"/>
  <c r="M30" i="10"/>
  <c r="M14" i="14"/>
  <c r="M20" i="14"/>
  <c r="M24" i="14"/>
  <c r="M26" i="14"/>
  <c r="N26" i="14" s="1"/>
  <c r="E56" i="6" s="1"/>
  <c r="M30" i="14"/>
  <c r="N30" i="14" s="1"/>
  <c r="M36" i="14"/>
  <c r="E33" i="6" s="1"/>
  <c r="M8" i="14"/>
  <c r="N9" i="14" s="1"/>
  <c r="M10" i="14"/>
  <c r="N10" i="14" s="1"/>
  <c r="M13" i="14"/>
  <c r="N13" i="14" s="1"/>
  <c r="M15" i="14"/>
  <c r="M16" i="14"/>
  <c r="M18" i="14"/>
  <c r="N18" i="14" s="1"/>
  <c r="M19" i="14"/>
  <c r="N19" i="14" s="1"/>
  <c r="M21" i="14"/>
  <c r="M22" i="14"/>
  <c r="M23" i="14"/>
  <c r="N23" i="14" s="1"/>
  <c r="M25" i="14"/>
  <c r="M34" i="11"/>
  <c r="E12" i="6" s="1"/>
  <c r="M34" i="13"/>
  <c r="N25" i="13"/>
  <c r="M34" i="12"/>
  <c r="F33" i="2"/>
  <c r="F35" i="2" s="1"/>
  <c r="I27" i="3"/>
  <c r="F13" i="7" s="1"/>
  <c r="F12" i="7" s="1"/>
  <c r="E52" i="6" l="1"/>
  <c r="N17" i="14"/>
  <c r="N30" i="10"/>
  <c r="E54" i="6"/>
  <c r="N25" i="10"/>
  <c r="N25" i="14"/>
  <c r="N22" i="14"/>
  <c r="E53" i="6" s="1"/>
  <c r="M34" i="14" l="1"/>
  <c r="E15" i="6" s="1"/>
  <c r="E55" i="6"/>
  <c r="M34" i="10"/>
  <c r="E11" i="6" s="1"/>
  <c r="E32" i="6"/>
  <c r="F7" i="7" s="1"/>
  <c r="E17" i="6" l="1"/>
  <c r="F6" i="7" s="1"/>
  <c r="F5" i="7" s="1"/>
  <c r="F9" i="7" s="1"/>
  <c r="E36" i="6"/>
  <c r="F16" i="7" l="1"/>
  <c r="F22" i="7" s="1"/>
  <c r="F24" i="7" s="1"/>
  <c r="F26" i="7" s="1"/>
  <c r="F10" i="7"/>
</calcChain>
</file>

<file path=xl/sharedStrings.xml><?xml version="1.0" encoding="utf-8"?>
<sst xmlns="http://schemas.openxmlformats.org/spreadsheetml/2006/main" count="753" uniqueCount="163">
  <si>
    <t>Aluguel Loja</t>
  </si>
  <si>
    <t>Salários</t>
  </si>
  <si>
    <t>Bonificações</t>
  </si>
  <si>
    <t>Impostos</t>
  </si>
  <si>
    <t>Vales (Refeição, Transporte)</t>
  </si>
  <si>
    <t>Informática</t>
  </si>
  <si>
    <t>Outros</t>
  </si>
  <si>
    <t>Limpeza</t>
  </si>
  <si>
    <t>Escritório Contábil</t>
  </si>
  <si>
    <t>Escritório Advocacia</t>
  </si>
  <si>
    <t>Entregas</t>
  </si>
  <si>
    <t>Marketing</t>
  </si>
  <si>
    <t>Seguros</t>
  </si>
  <si>
    <t>Despesas</t>
  </si>
  <si>
    <t>Observação</t>
  </si>
  <si>
    <t>Valor Intermediario</t>
  </si>
  <si>
    <t>Valor Final</t>
  </si>
  <si>
    <t>Data</t>
  </si>
  <si>
    <t>Itens Despesas</t>
  </si>
  <si>
    <t>Despesas de Funcionario</t>
  </si>
  <si>
    <t>Manutenção de equipamentos</t>
  </si>
  <si>
    <t>Funcionario</t>
  </si>
  <si>
    <t>Imposto</t>
  </si>
  <si>
    <t>Serviço Terceirizado</t>
  </si>
  <si>
    <t>Escritorio Contábil</t>
  </si>
  <si>
    <t>Escritorio de Advocacia</t>
  </si>
  <si>
    <t>Água</t>
  </si>
  <si>
    <t>Gás</t>
  </si>
  <si>
    <t>Telefone</t>
  </si>
  <si>
    <t>Despesas Funcionamento</t>
  </si>
  <si>
    <t>Energia</t>
  </si>
  <si>
    <t>Férias, Licença materniadade</t>
  </si>
  <si>
    <t>Total de despesas funcionamento: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</si>
  <si>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</si>
  <si>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</si>
  <si>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</si>
  <si>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</si>
  <si>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</si>
  <si>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</si>
  <si>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</si>
  <si>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</si>
  <si>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</si>
  <si>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</si>
  <si>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</si>
  <si>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</si>
  <si>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</si>
  <si>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</si>
  <si>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</si>
  <si>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</si>
  <si>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</si>
  <si>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</si>
  <si>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Mercadorias</t>
  </si>
  <si>
    <t xml:space="preserve">Data </t>
  </si>
  <si>
    <t>Fornecedor</t>
  </si>
  <si>
    <t>Mercadoria</t>
  </si>
  <si>
    <t>Unidade</t>
  </si>
  <si>
    <t>Quantidade</t>
  </si>
  <si>
    <t>Preço Unitario</t>
  </si>
  <si>
    <t>Desconto</t>
  </si>
  <si>
    <t>Valor Pago</t>
  </si>
  <si>
    <t>Medida</t>
  </si>
  <si>
    <t>Produtos</t>
  </si>
  <si>
    <t>Preço de Compra Unitário</t>
  </si>
  <si>
    <t>Preço de Venda Unitário</t>
  </si>
  <si>
    <t>Pacote</t>
  </si>
  <si>
    <t>Kg</t>
  </si>
  <si>
    <t>Barra de Cereal</t>
  </si>
  <si>
    <t>Leite</t>
  </si>
  <si>
    <t>Litro</t>
  </si>
  <si>
    <t>Lata</t>
  </si>
  <si>
    <t>Chocolate</t>
  </si>
  <si>
    <t>Barra</t>
  </si>
  <si>
    <t>Cigarro</t>
  </si>
  <si>
    <t>Maço</t>
  </si>
  <si>
    <t>Pão de Forma</t>
  </si>
  <si>
    <t>Refrigerante</t>
  </si>
  <si>
    <t>Garrafa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</si>
  <si>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</si>
  <si>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</si>
  <si>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</si>
  <si>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</si>
  <si>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</si>
  <si>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</si>
  <si>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</si>
  <si>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</si>
  <si>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</si>
  <si>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</si>
  <si>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>Total de compras de mercadorias:</t>
  </si>
  <si>
    <t>Total de despesas:</t>
  </si>
  <si>
    <t>Investimentos</t>
  </si>
  <si>
    <t>Investimento Inicial</t>
  </si>
  <si>
    <t>Equipamentos</t>
  </si>
  <si>
    <t>Descrisão</t>
  </si>
  <si>
    <t>Valor</t>
  </si>
  <si>
    <t>Estrutura(estantes prateleiras, etc...)</t>
  </si>
  <si>
    <t>Equipamentos(carrinhos, balanças, cortador de queijo,etc..)</t>
  </si>
  <si>
    <t>Documentação</t>
  </si>
  <si>
    <t>Sistemas da informação</t>
  </si>
  <si>
    <t>Estruturas inicial</t>
  </si>
  <si>
    <t>Decorativo</t>
  </si>
  <si>
    <t>Total de investimentos:</t>
  </si>
  <si>
    <t>Estoque</t>
  </si>
  <si>
    <t>Produto</t>
  </si>
  <si>
    <t>Data da última compra</t>
  </si>
  <si>
    <t>Quantidade Inicial</t>
  </si>
  <si>
    <t>Quantidade Comprada</t>
  </si>
  <si>
    <t>Quantidade Vendida</t>
  </si>
  <si>
    <t>Quantidade Atual</t>
  </si>
  <si>
    <t>Situação</t>
  </si>
  <si>
    <t>Id da Venda</t>
  </si>
  <si>
    <t>Data da Venda</t>
  </si>
  <si>
    <t>Preço Unitário</t>
  </si>
  <si>
    <t>SubTotal</t>
  </si>
  <si>
    <t>Entrega</t>
  </si>
  <si>
    <t>Valor da Entrega</t>
  </si>
  <si>
    <t>Total</t>
  </si>
  <si>
    <t>Total Cliente</t>
  </si>
  <si>
    <t>Regiões de Entrega</t>
  </si>
  <si>
    <t>Preço</t>
  </si>
  <si>
    <t>Centro</t>
  </si>
  <si>
    <t>Loja</t>
  </si>
  <si>
    <t>Zona Norte</t>
  </si>
  <si>
    <t>Zona Oeste</t>
  </si>
  <si>
    <t>Zona Sul</t>
  </si>
  <si>
    <t>Receitas de vendas na semana:</t>
  </si>
  <si>
    <t>Receita de entregas:</t>
  </si>
  <si>
    <t>Vendas semana 3</t>
  </si>
  <si>
    <t>Vendas semana 4</t>
  </si>
  <si>
    <t>Vendas semana 2</t>
  </si>
  <si>
    <t>Vendas semana 5</t>
  </si>
  <si>
    <t>Vendas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</si>
  <si>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</si>
  <si>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</si>
  <si>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</si>
  <si>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</si>
  <si>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</si>
  <si>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 xml:space="preserve">Vendas por entrega (%) </t>
  </si>
  <si>
    <t>Vendas por entrega (R$)</t>
  </si>
  <si>
    <t>Receita de entrega</t>
  </si>
  <si>
    <t>Total de vendas:</t>
  </si>
  <si>
    <t>Ticket Medio:</t>
  </si>
  <si>
    <t>Julho</t>
  </si>
  <si>
    <t xml:space="preserve">Quantidade de venda por região </t>
  </si>
  <si>
    <t>Total de vendas por semana</t>
  </si>
  <si>
    <t>Número de vendas</t>
  </si>
  <si>
    <t>Resultados</t>
  </si>
  <si>
    <t>Total de Receitas</t>
  </si>
  <si>
    <t>Receita Mercadorias</t>
  </si>
  <si>
    <t>Receita Entregas</t>
  </si>
  <si>
    <t>Imposto sobre Receita</t>
  </si>
  <si>
    <t>Receita Líquida</t>
  </si>
  <si>
    <t>Total de Despesas</t>
  </si>
  <si>
    <t>Custo Mercadorias Vendidas</t>
  </si>
  <si>
    <t>Resultado Bruto</t>
  </si>
  <si>
    <t>Depreciação e Amortização</t>
  </si>
  <si>
    <t>Resultado antes de Imposto</t>
  </si>
  <si>
    <t>Resultado Líquido</t>
  </si>
  <si>
    <t>Vendas semana 1</t>
  </si>
  <si>
    <t>Rótulos de Linha</t>
  </si>
  <si>
    <t>Total Geral</t>
  </si>
  <si>
    <t>Soma de Quantidade</t>
  </si>
  <si>
    <t>Soma de Total</t>
  </si>
  <si>
    <t>Soma de Valor da Entrega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</si>
</sst>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8" formatCode="_-&quot;R$&quot;\ * #,##0.00_-;\-&quot;R$&quot;\ * #,##0.00_-;_-&quot;R$&quot;\ * &quot;-&quot;??_-;_-@_-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0"/>
      <name val="Arial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20"/>
      <color theme="4"/>
      <name val="Arial"/>
      <family val="2"/>
    </font>
    <font>
      <b/>
      <sz val="22"/>
      <color theme="1"/>
      <name val="Arial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8" fontId="3" fillId="0" borderId="0" applyFont="0" applyFill="0" applyBorder="0" applyAlignment="0" applyProtection="0"/>
  </cellStyleXfs>
  <cellXfs count="89">
    <xf numFmtId="0" fontId="0" fillId="0" borderId="0" xfId="0"/>
    <xf numFmtId="0" fontId="1" fillId="2" borderId="0" xfId="0" applyFont="1" applyFill="1"/>
    <xf numFmtId="0" fontId="2" fillId="0" borderId="0" xfId="0" applyFont="1"/>
    <xf numFmtId="164" fontId="0" fillId="0" borderId="0" xfId="0" applyNumberFormat="1"/>
    <xf numFmtId="164" fontId="4" fillId="0" borderId="0" xfId="0" applyNumberFormat="1" applyFont="1"/>
    <xf numFmtId="0" fontId="5" fillId="2" borderId="0" xfId="0" applyFont="1" applyFill="1" applyAlignment="1">
      <alignment horizontal="center"/>
    </xf>
    <xf numFmtId="164" fontId="6" fillId="0" borderId="0" xfId="0" applyNumberFormat="1" applyFont="1"/>
    <xf numFmtId="9" fontId="0" fillId="0" borderId="0" xfId="2" applyFont="1"/>
    <xf numFmtId="8" fontId="0" fillId="0" borderId="0" xfId="0" applyNumberFormat="1"/>
    <xf numFmtId="0" fontId="0" fillId="0" borderId="0" xfId="0"/>
    <xf numFmtId="9" fontId="0" fillId="0" borderId="0" xfId="2" applyFont="1"/>
    <xf numFmtId="9" fontId="0" fillId="0" borderId="0" xfId="2" applyFont="1"/>
    <xf numFmtId="0" fontId="0" fillId="0" borderId="0" xfId="0"/>
    <xf numFmtId="14" fontId="0" fillId="0" borderId="0" xfId="0" applyNumberFormat="1"/>
    <xf numFmtId="9" fontId="0" fillId="0" borderId="0" xfId="2" applyFont="1"/>
    <xf numFmtId="0" fontId="0" fillId="0" borderId="0" xfId="0" applyBorder="1"/>
    <xf numFmtId="0" fontId="10" fillId="0" borderId="0" xfId="0" applyFont="1"/>
    <xf numFmtId="164" fontId="8" fillId="0" borderId="2" xfId="0" applyNumberFormat="1" applyFont="1" applyBorder="1"/>
    <xf numFmtId="0" fontId="11" fillId="0" borderId="0" xfId="0" applyNumberFormat="1" applyFont="1" applyBorder="1" applyAlignment="1"/>
    <xf numFmtId="164" fontId="0" fillId="0" borderId="0" xfId="0" applyNumberFormat="1" applyBorder="1"/>
    <xf numFmtId="0" fontId="11" fillId="0" borderId="0" xfId="0" applyFont="1" applyBorder="1"/>
    <xf numFmtId="0" fontId="0" fillId="0" borderId="0" xfId="0"/>
    <xf numFmtId="0" fontId="0" fillId="0" borderId="0" xfId="0" applyAlignment="1">
      <alignment wrapText="1"/>
    </xf>
    <xf numFmtId="164" fontId="11" fillId="0" borderId="2" xfId="0" applyNumberFormat="1" applyFont="1" applyBorder="1"/>
    <xf numFmtId="0" fontId="0" fillId="0" borderId="0" xfId="0"/>
    <xf numFmtId="0" fontId="0" fillId="0" borderId="0" xfId="0"/>
    <xf numFmtId="0" fontId="0" fillId="0" borderId="0" xfId="0"/>
    <xf numFmtId="9" fontId="0" fillId="0" borderId="0" xfId="2" applyFont="1"/>
    <xf numFmtId="0" fontId="0" fillId="0" borderId="0" xfId="0"/>
    <xf numFmtId="14" fontId="0" fillId="0" borderId="0" xfId="0" applyNumberFormat="1"/>
    <xf numFmtId="0" fontId="0" fillId="0" borderId="0" xfId="0"/>
    <xf numFmtId="0" fontId="0" fillId="0" borderId="0" xfId="0" applyNumberFormat="1"/>
    <xf numFmtId="0" fontId="0" fillId="0" borderId="0" xfId="0"/>
    <xf numFmtId="14" fontId="0" fillId="0" borderId="0" xfId="0" applyNumberFormat="1"/>
    <xf numFmtId="44" fontId="0" fillId="0" borderId="0" xfId="1" applyFont="1"/>
    <xf numFmtId="0" fontId="0" fillId="0" borderId="0" xfId="0"/>
    <xf numFmtId="44" fontId="0" fillId="0" borderId="0" xfId="3" applyFont="1"/>
    <xf numFmtId="0" fontId="4" fillId="0" borderId="0" xfId="0" applyFont="1"/>
    <xf numFmtId="0" fontId="0" fillId="0" borderId="0" xfId="0"/>
    <xf numFmtId="9" fontId="0" fillId="0" borderId="0" xfId="2" applyFont="1"/>
    <xf numFmtId="14" fontId="0" fillId="0" borderId="1" xfId="0" applyNumberFormat="1" applyFont="1" applyFill="1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3" fillId="0" borderId="9" xfId="0" applyFont="1" applyBorder="1" applyAlignment="1">
      <alignment horizontal="center" vertical="center"/>
    </xf>
    <xf numFmtId="44" fontId="0" fillId="0" borderId="0" xfId="0" applyNumberFormat="1" applyBorder="1"/>
    <xf numFmtId="164" fontId="9" fillId="0" borderId="9" xfId="1" applyNumberFormat="1" applyFont="1" applyBorder="1"/>
    <xf numFmtId="0" fontId="7" fillId="0" borderId="0" xfId="0" applyFont="1" applyBorder="1"/>
    <xf numFmtId="0" fontId="9" fillId="0" borderId="9" xfId="0" applyFont="1" applyBorder="1" applyAlignment="1"/>
    <xf numFmtId="0" fontId="9" fillId="0" borderId="11" xfId="0" applyFont="1" applyBorder="1" applyAlignment="1"/>
    <xf numFmtId="0" fontId="12" fillId="0" borderId="0" xfId="0" applyFont="1" applyAlignment="1"/>
    <xf numFmtId="0" fontId="9" fillId="0" borderId="9" xfId="2" applyNumberFormat="1" applyFont="1" applyBorder="1"/>
    <xf numFmtId="0" fontId="10" fillId="0" borderId="0" xfId="0" applyFont="1" applyAlignment="1">
      <alignment horizontal="center"/>
    </xf>
    <xf numFmtId="0" fontId="11" fillId="0" borderId="2" xfId="1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44" fontId="11" fillId="0" borderId="2" xfId="1" applyFont="1" applyBorder="1" applyAlignment="1">
      <alignment horizontal="center"/>
    </xf>
    <xf numFmtId="0" fontId="12" fillId="0" borderId="0" xfId="0" applyFont="1" applyAlignment="1">
      <alignment horizontal="left"/>
    </xf>
    <xf numFmtId="10" fontId="9" fillId="0" borderId="9" xfId="2" applyNumberFormat="1" applyFont="1" applyBorder="1"/>
    <xf numFmtId="44" fontId="14" fillId="0" borderId="12" xfId="0" applyNumberFormat="1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164" fontId="7" fillId="0" borderId="16" xfId="0" applyNumberFormat="1" applyFont="1" applyBorder="1"/>
    <xf numFmtId="0" fontId="7" fillId="0" borderId="0" xfId="0" applyFont="1" applyBorder="1" applyAlignment="1">
      <alignment horizontal="center"/>
    </xf>
    <xf numFmtId="0" fontId="15" fillId="0" borderId="0" xfId="0" applyFont="1" applyAlignment="1">
      <alignment horizontal="center" vertical="center"/>
    </xf>
    <xf numFmtId="44" fontId="15" fillId="0" borderId="20" xfId="1" applyFont="1" applyBorder="1"/>
    <xf numFmtId="44" fontId="15" fillId="0" borderId="19" xfId="1" applyFont="1" applyBorder="1"/>
    <xf numFmtId="0" fontId="0" fillId="0" borderId="0" xfId="0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5" fillId="0" borderId="0" xfId="0" applyFont="1"/>
    <xf numFmtId="0" fontId="15" fillId="0" borderId="17" xfId="0" applyFont="1" applyBorder="1"/>
    <xf numFmtId="0" fontId="15" fillId="0" borderId="18" xfId="0" applyFont="1" applyBorder="1"/>
    <xf numFmtId="0" fontId="15" fillId="0" borderId="19" xfId="0" applyFont="1" applyBorder="1"/>
    <xf numFmtId="0" fontId="15" fillId="0" borderId="20" xfId="0" applyFont="1" applyBorder="1"/>
    <xf numFmtId="44" fontId="15" fillId="0" borderId="0" xfId="1" applyFont="1"/>
    <xf numFmtId="44" fontId="15" fillId="0" borderId="17" xfId="1" applyFont="1" applyBorder="1"/>
    <xf numFmtId="44" fontId="15" fillId="0" borderId="18" xfId="1" applyFont="1" applyBorder="1"/>
    <xf numFmtId="0" fontId="0" fillId="0" borderId="0" xfId="1" applyNumberFormat="1" applyFont="1"/>
    <xf numFmtId="44" fontId="0" fillId="0" borderId="0" xfId="0" applyNumberFormat="1"/>
  </cellXfs>
  <cellStyles count="5">
    <cellStyle name="Moeda" xfId="1" builtinId="4"/>
    <cellStyle name="Moeda 2" xfId="3" xr:uid="{00000000-0005-0000-0000-00002F000000}"/>
    <cellStyle name="Moeda 3" xfId="4" xr:uid="{00000000-0005-0000-0000-000030000000}"/>
    <cellStyle name="Normal" xfId="0" builtinId="0"/>
    <cellStyle name="Porcentagem" xfId="2" builtinId="5"/>
  </cellStyles>
  <dxfs count="35">
    <dxf>
      <numFmt numFmtId="0" formatCode="General"/>
    </dxf>
    <dxf>
      <font>
        <color theme="1"/>
      </font>
      <fill>
        <patternFill>
          <fgColor rgb="FFFF0000"/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numFmt numFmtId="0" formatCode="General"/>
    </dxf>
    <dxf>
      <numFmt numFmtId="164" formatCode="_-[$R$-416]\ * #,##0.00_-;\-[$R$-416]\ * #,##0.00_-;_-[$R$-416]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-[$R$-416]\ * #,##0.00_-;\-[$R$-416]\ * #,##0.00_-;_-[$R$-416]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-[$R$-416]\ * #,##0.00_-;\-[$R$-416]\ * #,##0.00_-;_-[$R$-416]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-[$R$-416]\ * #,##0.00_-;\-[$R$-416]\ * #,##0.00_-;_-[$R$-416]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-[$R$-416]\ * #,##0.00_-;\-[$R$-416]\ * #,##0.00_-;_-[$R$-416]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4" formatCode="_-[$R$-416]\ * #,##0.00_-;\-[$R$-416]\ * #,##0.00_-;_-[$R$-416]\ * &quot;-&quot;??_-;_-@_-"/>
    </dxf>
    <dxf>
      <alignment horizontal="general" vertical="bottom" textRotation="0" wrapText="1" indent="0" justifyLastLine="0" shrinkToFit="0" readingOrder="0"/>
    </dxf>
    <dxf>
      <numFmt numFmtId="164" formatCode="_-[$R$-416]\ * #,##0.00_-;\-[$R$-416]\ * #,##0.00_-;_-[$R$-416]\ * &quot;-&quot;??_-;_-@_-"/>
    </dxf>
    <dxf>
      <numFmt numFmtId="164" formatCode="_-[$R$-416]\ * #,##0.00_-;\-[$R$-416]\ * #,##0.00_-;_-[$R$-416]\ * &quot;-&quot;??_-;_-@_-"/>
    </dxf>
    <dxf>
      <numFmt numFmtId="0" formatCode="General"/>
    </dxf>
    <dxf>
      <numFmt numFmtId="19" formatCode="dd/mm/yyyy"/>
    </dxf>
    <dxf>
      <numFmt numFmtId="164" formatCode="_-[$R$-416]\ * #,##0.00_-;\-[$R$-416]\ * #,##0.00_-;_-[$R$-416]\ * &quot;-&quot;??_-;_-@_-"/>
    </dxf>
    <dxf>
      <numFmt numFmtId="164" formatCode="_-[$R$-416]\ * #,##0.00_-;\-[$R$-416]\ * #,##0.00_-;_-[$R$-416]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Vendas!$E$11:$E$15</c:f>
              <c:numCache>
                <c:formatCode>_-[$R$-416]\ * #,##0.00_-;\-[$R$-416]\ * #,##0.00_-;_-[$R$-416]\ * "-"??_-;_-@_-</c:formatCode>
                <c:ptCount val="5"/>
                <c:pt idx="0">
                  <c:v>6576.3384999999989</c:v>
                </c:pt>
                <c:pt idx="1">
                  <c:v>6576.3384999999989</c:v>
                </c:pt>
                <c:pt idx="2">
                  <c:v>6576.3384999999989</c:v>
                </c:pt>
                <c:pt idx="3">
                  <c:v>6576.3384999999989</c:v>
                </c:pt>
                <c:pt idx="4">
                  <c:v>6576.3384999999989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6-4DE2-B303-822CCF3F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7277072"/>
        <c:axId val="697277728"/>
      </c:barChart>
      <c:catAx>
        <c:axId val="69727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7277728"/>
        <c:crosses val="autoZero"/>
        <c:auto val="1"/>
        <c:lblAlgn val="ctr"/>
        <c:lblOffset val="100"/>
        <c:noMultiLvlLbl val="0"/>
      </c:catAx>
      <c:valAx>
        <c:axId val="69727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727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7705402449693789"/>
          <c:y val="0.13467592592592592"/>
          <c:w val="0.6090778652668416"/>
          <c:h val="0.72088764946048411"/>
        </c:manualLayout>
      </c:layout>
      <c:barChart>
        <c:barDir val="bar"/>
        <c:grouping val="clustered"/>
        <c:varyColors val="0"/>
        <c:ser>
          <c:idx val="1"/>
          <c:order val="1"/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Vendas!$C$32:$C$33</c:f>
              <c:strCache>
                <c:ptCount val="2"/>
                <c:pt idx="0">
                  <c:v>Vendas por entrega (R$)</c:v>
                </c:pt>
                <c:pt idx="1">
                  <c:v>Receita de entrega</c:v>
                </c:pt>
              </c:strCache>
            </c:strRef>
          </c:cat>
          <c:val>
            <c:numRef>
              <c:f>Vendas!$E$32:$E$33</c:f>
              <c:numCache>
                <c:formatCode>_-[$R$-416]\ * #,##0.00_-;\-[$R$-416]\ * #,##0.00_-;_-[$R$-416]\ * "-"??_-;_-@_-</c:formatCode>
                <c:ptCount val="2"/>
                <c:pt idx="0">
                  <c:v>29139.329999999994</c:v>
                </c:pt>
                <c:pt idx="1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CD-45E0-A6C6-51EF01325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60522520"/>
        <c:axId val="4605238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>
                      <a:tint val="77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Vendas!$C$32:$C$33</c15:sqref>
                        </c15:formulaRef>
                      </c:ext>
                    </c:extLst>
                    <c:strCache>
                      <c:ptCount val="2"/>
                      <c:pt idx="0">
                        <c:v>Vendas por entrega (R$)</c:v>
                      </c:pt>
                      <c:pt idx="1">
                        <c:v>Receita de entrega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Vendas!$D$32:$D$33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8CD-45E0-A6C6-51EF013257DB}"/>
                  </c:ext>
                </c:extLst>
              </c15:ser>
            </c15:filteredBarSeries>
          </c:ext>
        </c:extLst>
      </c:barChart>
      <c:catAx>
        <c:axId val="460522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0523832"/>
        <c:crosses val="autoZero"/>
        <c:auto val="1"/>
        <c:lblAlgn val="ctr"/>
        <c:lblOffset val="100"/>
        <c:noMultiLvlLbl val="0"/>
      </c:catAx>
      <c:valAx>
        <c:axId val="460523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052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Vendas!$D$52:$D$56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Vendas!$E$52:$E$56</c:f>
              <c:numCache>
                <c:formatCode>General</c:formatCode>
                <c:ptCount val="5"/>
                <c:pt idx="0">
                  <c:v>20</c:v>
                </c:pt>
                <c:pt idx="1">
                  <c:v>15</c:v>
                </c:pt>
                <c:pt idx="2">
                  <c:v>10</c:v>
                </c:pt>
                <c:pt idx="3">
                  <c:v>15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9-4A57-8E92-92923143A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ercadorias!A1"/><Relationship Id="rId7" Type="http://schemas.openxmlformats.org/officeDocument/2006/relationships/hyperlink" Target="#Vendas!A1"/><Relationship Id="rId2" Type="http://schemas.openxmlformats.org/officeDocument/2006/relationships/hyperlink" Target="#Despesas!A1"/><Relationship Id="rId1" Type="http://schemas.openxmlformats.org/officeDocument/2006/relationships/image" Target="../media/image1.jpg"/><Relationship Id="rId6" Type="http://schemas.openxmlformats.org/officeDocument/2006/relationships/hyperlink" Target="#Resultados!A1"/><Relationship Id="rId5" Type="http://schemas.openxmlformats.org/officeDocument/2006/relationships/hyperlink" Target="#Estoque!A1"/><Relationship Id="rId4" Type="http://schemas.openxmlformats.org/officeDocument/2006/relationships/hyperlink" Target="#Investimento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rcadorias!A1"/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Estoque!A1"/><Relationship Id="rId2" Type="http://schemas.openxmlformats.org/officeDocument/2006/relationships/hyperlink" Target="#Despesas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Semana 2'!A1"/><Relationship Id="rId3" Type="http://schemas.openxmlformats.org/officeDocument/2006/relationships/chart" Target="../charts/chart3.xml"/><Relationship Id="rId7" Type="http://schemas.openxmlformats.org/officeDocument/2006/relationships/hyperlink" Target="#'Semana 1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Vendas!B74"/><Relationship Id="rId11" Type="http://schemas.openxmlformats.org/officeDocument/2006/relationships/hyperlink" Target="#'Semana 5'!A1"/><Relationship Id="rId5" Type="http://schemas.openxmlformats.org/officeDocument/2006/relationships/hyperlink" Target="#Resultados!A1"/><Relationship Id="rId10" Type="http://schemas.openxmlformats.org/officeDocument/2006/relationships/hyperlink" Target="#'Semana 4'!A1"/><Relationship Id="rId4" Type="http://schemas.openxmlformats.org/officeDocument/2006/relationships/hyperlink" Target="#Menu!A1"/><Relationship Id="rId9" Type="http://schemas.openxmlformats.org/officeDocument/2006/relationships/hyperlink" Target="#'Semana 3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Semana 1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Semana 2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emana 3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'Semana 4'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'Semana 5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552450</xdr:colOff>
      <xdr:row>27</xdr:row>
      <xdr:rowOff>76200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E576C97B-6376-445A-8AA2-5478BA0657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51" b="20524"/>
        <a:stretch/>
      </xdr:blipFill>
      <xdr:spPr>
        <a:xfrm>
          <a:off x="0" y="0"/>
          <a:ext cx="15201900" cy="5219700"/>
        </a:xfrm>
        <a:prstGeom prst="rect">
          <a:avLst/>
        </a:prstGeom>
      </xdr:spPr>
    </xdr:pic>
    <xdr:clientData/>
  </xdr:twoCellAnchor>
  <xdr:twoCellAnchor>
    <xdr:from>
      <xdr:col>1</xdr:col>
      <xdr:colOff>266700</xdr:colOff>
      <xdr:row>18</xdr:row>
      <xdr:rowOff>171450</xdr:rowOff>
    </xdr:from>
    <xdr:to>
      <xdr:col>4</xdr:col>
      <xdr:colOff>142875</xdr:colOff>
      <xdr:row>22</xdr:row>
      <xdr:rowOff>76200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27D40EE-5921-49FC-B6B4-BC8B6A841E7C}"/>
            </a:ext>
          </a:extLst>
        </xdr:cNvPr>
        <xdr:cNvSpPr/>
      </xdr:nvSpPr>
      <xdr:spPr>
        <a:xfrm>
          <a:off x="895350" y="3600450"/>
          <a:ext cx="1704975" cy="66675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i="0" u="none" strike="noStrike">
              <a:solidFill>
                <a:schemeClr val="lt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Despesas</a:t>
          </a:r>
          <a:endParaRPr lang="pt-BR" sz="12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4</xdr:col>
      <xdr:colOff>295275</xdr:colOff>
      <xdr:row>18</xdr:row>
      <xdr:rowOff>171450</xdr:rowOff>
    </xdr:from>
    <xdr:to>
      <xdr:col>7</xdr:col>
      <xdr:colOff>171450</xdr:colOff>
      <xdr:row>22</xdr:row>
      <xdr:rowOff>76200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E255272-B043-413D-912C-C46E8857E98C}"/>
            </a:ext>
          </a:extLst>
        </xdr:cNvPr>
        <xdr:cNvSpPr/>
      </xdr:nvSpPr>
      <xdr:spPr>
        <a:xfrm>
          <a:off x="2752725" y="3600450"/>
          <a:ext cx="1704975" cy="66675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i="0" u="none" strike="noStrike">
              <a:solidFill>
                <a:schemeClr val="lt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Mercadorias</a:t>
          </a:r>
          <a:endParaRPr lang="pt-BR" sz="12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295275</xdr:colOff>
      <xdr:row>18</xdr:row>
      <xdr:rowOff>171450</xdr:rowOff>
    </xdr:from>
    <xdr:to>
      <xdr:col>10</xdr:col>
      <xdr:colOff>171450</xdr:colOff>
      <xdr:row>22</xdr:row>
      <xdr:rowOff>76200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7006A-A9CB-4FD7-972C-3FDE30A9BF14}"/>
            </a:ext>
          </a:extLst>
        </xdr:cNvPr>
        <xdr:cNvSpPr/>
      </xdr:nvSpPr>
      <xdr:spPr>
        <a:xfrm>
          <a:off x="4581525" y="3600450"/>
          <a:ext cx="1704975" cy="66675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i="0" u="none" strike="noStrike">
              <a:solidFill>
                <a:schemeClr val="lt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Investimento</a:t>
          </a:r>
          <a:endParaRPr lang="pt-BR" sz="12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10</xdr:col>
      <xdr:colOff>285750</xdr:colOff>
      <xdr:row>18</xdr:row>
      <xdr:rowOff>161925</xdr:rowOff>
    </xdr:from>
    <xdr:to>
      <xdr:col>13</xdr:col>
      <xdr:colOff>161925</xdr:colOff>
      <xdr:row>22</xdr:row>
      <xdr:rowOff>66675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C195F6F-A08E-44AD-BB2C-374F963C18A3}"/>
            </a:ext>
          </a:extLst>
        </xdr:cNvPr>
        <xdr:cNvSpPr/>
      </xdr:nvSpPr>
      <xdr:spPr>
        <a:xfrm>
          <a:off x="6400800" y="3590925"/>
          <a:ext cx="1704975" cy="66675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i="0" u="none" strike="noStrike">
              <a:solidFill>
                <a:schemeClr val="lt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Estoque</a:t>
          </a:r>
          <a:endParaRPr lang="pt-BR" sz="12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16</xdr:col>
      <xdr:colOff>304800</xdr:colOff>
      <xdr:row>18</xdr:row>
      <xdr:rowOff>161925</xdr:rowOff>
    </xdr:from>
    <xdr:to>
      <xdr:col>19</xdr:col>
      <xdr:colOff>180975</xdr:colOff>
      <xdr:row>22</xdr:row>
      <xdr:rowOff>66675</xdr:rowOff>
    </xdr:to>
    <xdr:sp macro="" textlink="">
      <xdr:nvSpPr>
        <xdr:cNvPr id="6" name="Retângulo: Cantos Arredondados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E2FCDCD-FBCF-4094-AC0F-4D31FA23917A}"/>
            </a:ext>
          </a:extLst>
        </xdr:cNvPr>
        <xdr:cNvSpPr/>
      </xdr:nvSpPr>
      <xdr:spPr>
        <a:xfrm>
          <a:off x="10077450" y="3590925"/>
          <a:ext cx="1704975" cy="66675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i="0" u="none" strike="noStrike">
              <a:solidFill>
                <a:schemeClr val="lt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Resultados</a:t>
          </a:r>
          <a:endParaRPr lang="pt-BR" sz="12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13</xdr:col>
      <xdr:colOff>266700</xdr:colOff>
      <xdr:row>18</xdr:row>
      <xdr:rowOff>142875</xdr:rowOff>
    </xdr:from>
    <xdr:to>
      <xdr:col>16</xdr:col>
      <xdr:colOff>142875</xdr:colOff>
      <xdr:row>22</xdr:row>
      <xdr:rowOff>47625</xdr:rowOff>
    </xdr:to>
    <xdr:sp macro="" textlink="">
      <xdr:nvSpPr>
        <xdr:cNvPr id="8" name="Retângulo: Cantos Arredondados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2709F98-B2EA-4F48-9EE2-EB955DD9B62C}"/>
            </a:ext>
          </a:extLst>
        </xdr:cNvPr>
        <xdr:cNvSpPr/>
      </xdr:nvSpPr>
      <xdr:spPr>
        <a:xfrm>
          <a:off x="8210550" y="3571875"/>
          <a:ext cx="1704975" cy="66675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i="0" u="none" strike="noStrike">
              <a:solidFill>
                <a:schemeClr val="lt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Vendas</a:t>
          </a:r>
          <a:endParaRPr lang="pt-BR" sz="1200"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1019175</xdr:colOff>
      <xdr:row>0</xdr:row>
      <xdr:rowOff>104775</xdr:rowOff>
    </xdr:from>
    <xdr:to>
      <xdr:col>3</xdr:col>
      <xdr:colOff>219075</xdr:colOff>
      <xdr:row>1</xdr:row>
      <xdr:rowOff>28575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8AB9DD-4DA8-482B-ADD3-36773F1A8773}"/>
            </a:ext>
          </a:extLst>
        </xdr:cNvPr>
        <xdr:cNvSpPr/>
      </xdr:nvSpPr>
      <xdr:spPr>
        <a:xfrm>
          <a:off x="4400550" y="104775"/>
          <a:ext cx="1143000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Menu</a:t>
          </a:r>
          <a:endParaRPr lang="pt-BR" sz="1100"/>
        </a:p>
      </xdr:txBody>
    </xdr:sp>
    <xdr:clientData/>
  </xdr:twoCellAnchor>
  <xdr:twoCellAnchor>
    <xdr:from>
      <xdr:col>3</xdr:col>
      <xdr:colOff>419100</xdr:colOff>
      <xdr:row>0</xdr:row>
      <xdr:rowOff>104775</xdr:rowOff>
    </xdr:from>
    <xdr:to>
      <xdr:col>4</xdr:col>
      <xdr:colOff>0</xdr:colOff>
      <xdr:row>1</xdr:row>
      <xdr:rowOff>28575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25E9C3A-7EA8-4BFC-B638-155CA3289A8A}"/>
            </a:ext>
          </a:extLst>
        </xdr:cNvPr>
        <xdr:cNvSpPr/>
      </xdr:nvSpPr>
      <xdr:spPr>
        <a:xfrm>
          <a:off x="5743575" y="104775"/>
          <a:ext cx="1524000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Resultado</a:t>
          </a:r>
          <a:endParaRPr lang="pt-BR" sz="1100"/>
        </a:p>
      </xdr:txBody>
    </xdr:sp>
    <xdr:clientData/>
  </xdr:twoCellAnchor>
  <xdr:twoCellAnchor>
    <xdr:from>
      <xdr:col>4</xdr:col>
      <xdr:colOff>200025</xdr:colOff>
      <xdr:row>0</xdr:row>
      <xdr:rowOff>123825</xdr:rowOff>
    </xdr:from>
    <xdr:to>
      <xdr:col>5</xdr:col>
      <xdr:colOff>1333500</xdr:colOff>
      <xdr:row>1</xdr:row>
      <xdr:rowOff>19050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53F4B7E-992A-4A6E-8E4E-FCB2D9602D82}"/>
            </a:ext>
          </a:extLst>
        </xdr:cNvPr>
        <xdr:cNvSpPr/>
      </xdr:nvSpPr>
      <xdr:spPr>
        <a:xfrm>
          <a:off x="7467600" y="123825"/>
          <a:ext cx="3114675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Compras Mercadorias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85725</xdr:rowOff>
    </xdr:from>
    <xdr:to>
      <xdr:col>4</xdr:col>
      <xdr:colOff>161925</xdr:colOff>
      <xdr:row>1</xdr:row>
      <xdr:rowOff>9525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621F3E-7DA4-4913-8B09-42B61BDD8203}"/>
            </a:ext>
          </a:extLst>
        </xdr:cNvPr>
        <xdr:cNvSpPr/>
      </xdr:nvSpPr>
      <xdr:spPr>
        <a:xfrm>
          <a:off x="5886450" y="85725"/>
          <a:ext cx="1143000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Menu</a:t>
          </a:r>
          <a:endParaRPr lang="pt-BR" sz="1100"/>
        </a:p>
      </xdr:txBody>
    </xdr:sp>
    <xdr:clientData/>
  </xdr:twoCellAnchor>
  <xdr:twoCellAnchor>
    <xdr:from>
      <xdr:col>4</xdr:col>
      <xdr:colOff>390525</xdr:colOff>
      <xdr:row>0</xdr:row>
      <xdr:rowOff>85725</xdr:rowOff>
    </xdr:from>
    <xdr:to>
      <xdr:col>5</xdr:col>
      <xdr:colOff>904875</xdr:colOff>
      <xdr:row>1</xdr:row>
      <xdr:rowOff>9525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3F0F3B0-5AC9-4190-B49E-7236CBB4813A}"/>
            </a:ext>
          </a:extLst>
        </xdr:cNvPr>
        <xdr:cNvSpPr/>
      </xdr:nvSpPr>
      <xdr:spPr>
        <a:xfrm>
          <a:off x="7258050" y="85725"/>
          <a:ext cx="1524000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Despesas</a:t>
          </a:r>
          <a:endParaRPr lang="pt-BR" sz="1100"/>
        </a:p>
      </xdr:txBody>
    </xdr:sp>
    <xdr:clientData/>
  </xdr:twoCellAnchor>
  <xdr:twoCellAnchor>
    <xdr:from>
      <xdr:col>6</xdr:col>
      <xdr:colOff>161925</xdr:colOff>
      <xdr:row>0</xdr:row>
      <xdr:rowOff>104775</xdr:rowOff>
    </xdr:from>
    <xdr:to>
      <xdr:col>8</xdr:col>
      <xdr:colOff>1457325</xdr:colOff>
      <xdr:row>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3E9138-1AD8-4B6A-9152-D9CE0F28396E}"/>
            </a:ext>
          </a:extLst>
        </xdr:cNvPr>
        <xdr:cNvSpPr/>
      </xdr:nvSpPr>
      <xdr:spPr>
        <a:xfrm>
          <a:off x="8982075" y="104775"/>
          <a:ext cx="3114675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Controle de Estoque</a:t>
          </a:r>
          <a:endParaRPr lang="pt-BR" sz="1100"/>
        </a:p>
      </xdr:txBody>
    </xdr:sp>
    <xdr:clientData/>
  </xdr:twoCellAnchor>
  <xdr:twoCellAnchor>
    <xdr:from>
      <xdr:col>0</xdr:col>
      <xdr:colOff>76199</xdr:colOff>
      <xdr:row>3</xdr:row>
      <xdr:rowOff>85725</xdr:rowOff>
    </xdr:from>
    <xdr:to>
      <xdr:col>0</xdr:col>
      <xdr:colOff>1857374</xdr:colOff>
      <xdr:row>5</xdr:row>
      <xdr:rowOff>114300</xdr:rowOff>
    </xdr:to>
    <xdr:sp macro="[0]!Macro10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419C7CA-7D37-41A8-858E-EB7189AE8FAB}"/>
            </a:ext>
          </a:extLst>
        </xdr:cNvPr>
        <xdr:cNvSpPr/>
      </xdr:nvSpPr>
      <xdr:spPr>
        <a:xfrm>
          <a:off x="76199" y="952500"/>
          <a:ext cx="1781175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Nova</a:t>
          </a:r>
          <a:r>
            <a:rPr lang="pt-BR" sz="2400" baseline="0"/>
            <a:t> linha</a:t>
          </a:r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152399</xdr:rowOff>
    </xdr:from>
    <xdr:to>
      <xdr:col>11</xdr:col>
      <xdr:colOff>0</xdr:colOff>
      <xdr:row>19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EEA2CF-4AE9-4C88-9AC9-3213F108D9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26</xdr:row>
      <xdr:rowOff>142875</xdr:rowOff>
    </xdr:from>
    <xdr:to>
      <xdr:col>10</xdr:col>
      <xdr:colOff>1114425</xdr:colOff>
      <xdr:row>40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71A1F2-F7C3-4F68-AC62-7774F67566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1285875</xdr:colOff>
      <xdr:row>47</xdr:row>
      <xdr:rowOff>133350</xdr:rowOff>
    </xdr:from>
    <xdr:to>
      <xdr:col>10</xdr:col>
      <xdr:colOff>1104900</xdr:colOff>
      <xdr:row>60</xdr:row>
      <xdr:rowOff>28575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FF837C3-DE7B-4A00-86D4-FEAF25CEF5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590550</xdr:colOff>
      <xdr:row>0</xdr:row>
      <xdr:rowOff>114300</xdr:rowOff>
    </xdr:from>
    <xdr:to>
      <xdr:col>6</xdr:col>
      <xdr:colOff>438150</xdr:colOff>
      <xdr:row>1</xdr:row>
      <xdr:rowOff>38100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D92B62A-C75D-41AC-9733-3530AB1A264D}"/>
            </a:ext>
          </a:extLst>
        </xdr:cNvPr>
        <xdr:cNvSpPr/>
      </xdr:nvSpPr>
      <xdr:spPr>
        <a:xfrm>
          <a:off x="6105525" y="114300"/>
          <a:ext cx="1143000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Menu</a:t>
          </a:r>
          <a:endParaRPr lang="pt-BR" sz="1100"/>
        </a:p>
      </xdr:txBody>
    </xdr:sp>
    <xdr:clientData/>
  </xdr:twoCellAnchor>
  <xdr:twoCellAnchor>
    <xdr:from>
      <xdr:col>6</xdr:col>
      <xdr:colOff>638175</xdr:colOff>
      <xdr:row>0</xdr:row>
      <xdr:rowOff>114300</xdr:rowOff>
    </xdr:from>
    <xdr:to>
      <xdr:col>8</xdr:col>
      <xdr:colOff>209550</xdr:colOff>
      <xdr:row>1</xdr:row>
      <xdr:rowOff>38100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97D6110-3183-4A6D-92BA-8B81C0C832E2}"/>
            </a:ext>
          </a:extLst>
        </xdr:cNvPr>
        <xdr:cNvSpPr/>
      </xdr:nvSpPr>
      <xdr:spPr>
        <a:xfrm>
          <a:off x="7448550" y="114300"/>
          <a:ext cx="1524000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Resultado</a:t>
          </a:r>
          <a:endParaRPr lang="pt-BR" sz="1100"/>
        </a:p>
      </xdr:txBody>
    </xdr:sp>
    <xdr:clientData/>
  </xdr:twoCellAnchor>
  <xdr:twoCellAnchor>
    <xdr:from>
      <xdr:col>8</xdr:col>
      <xdr:colOff>409575</xdr:colOff>
      <xdr:row>0</xdr:row>
      <xdr:rowOff>133350</xdr:rowOff>
    </xdr:from>
    <xdr:to>
      <xdr:col>11</xdr:col>
      <xdr:colOff>847725</xdr:colOff>
      <xdr:row>1</xdr:row>
      <xdr:rowOff>28575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50B15D1-AD1D-4180-A567-9A95CF36E4FA}"/>
            </a:ext>
          </a:extLst>
        </xdr:cNvPr>
        <xdr:cNvSpPr/>
      </xdr:nvSpPr>
      <xdr:spPr>
        <a:xfrm>
          <a:off x="9172575" y="133350"/>
          <a:ext cx="3114675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Ir</a:t>
          </a:r>
          <a:r>
            <a:rPr lang="pt-BR" sz="2400" baseline="0"/>
            <a:t> para semanas</a:t>
          </a:r>
          <a:endParaRPr lang="pt-BR" sz="2400"/>
        </a:p>
      </xdr:txBody>
    </xdr:sp>
    <xdr:clientData/>
  </xdr:twoCellAnchor>
  <xdr:twoCellAnchor>
    <xdr:from>
      <xdr:col>1</xdr:col>
      <xdr:colOff>400050</xdr:colOff>
      <xdr:row>64</xdr:row>
      <xdr:rowOff>180975</xdr:rowOff>
    </xdr:from>
    <xdr:to>
      <xdr:col>3</xdr:col>
      <xdr:colOff>104775</xdr:colOff>
      <xdr:row>67</xdr:row>
      <xdr:rowOff>133350</xdr:rowOff>
    </xdr:to>
    <xdr:sp macro="" textlink="">
      <xdr:nvSpPr>
        <xdr:cNvPr id="15" name="Retângulo: Cantos Arredondados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ED3CDB1-2855-448E-BF46-5280753EA836}"/>
            </a:ext>
          </a:extLst>
        </xdr:cNvPr>
        <xdr:cNvSpPr/>
      </xdr:nvSpPr>
      <xdr:spPr>
        <a:xfrm>
          <a:off x="638175" y="13830300"/>
          <a:ext cx="1562100" cy="523875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2400"/>
            <a:t>Semana</a:t>
          </a:r>
          <a:r>
            <a:rPr lang="pt-BR" sz="2400" baseline="0"/>
            <a:t> 1</a:t>
          </a:r>
          <a:endParaRPr lang="pt-BR" sz="2400"/>
        </a:p>
      </xdr:txBody>
    </xdr:sp>
    <xdr:clientData/>
  </xdr:twoCellAnchor>
  <xdr:twoCellAnchor>
    <xdr:from>
      <xdr:col>3</xdr:col>
      <xdr:colOff>885825</xdr:colOff>
      <xdr:row>65</xdr:row>
      <xdr:rowOff>0</xdr:rowOff>
    </xdr:from>
    <xdr:to>
      <xdr:col>4</xdr:col>
      <xdr:colOff>619125</xdr:colOff>
      <xdr:row>67</xdr:row>
      <xdr:rowOff>142875</xdr:rowOff>
    </xdr:to>
    <xdr:sp macro="" textlink="">
      <xdr:nvSpPr>
        <xdr:cNvPr id="16" name="Retângulo: Cantos Arredondados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665A359-5055-45E2-88ED-4B973054A1E4}"/>
            </a:ext>
          </a:extLst>
        </xdr:cNvPr>
        <xdr:cNvSpPr/>
      </xdr:nvSpPr>
      <xdr:spPr>
        <a:xfrm>
          <a:off x="2981325" y="13839825"/>
          <a:ext cx="1562100" cy="523875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2400"/>
            <a:t>Semana</a:t>
          </a:r>
          <a:r>
            <a:rPr lang="pt-BR" sz="2400" baseline="0"/>
            <a:t> 2</a:t>
          </a:r>
          <a:endParaRPr lang="pt-BR" sz="2400"/>
        </a:p>
      </xdr:txBody>
    </xdr:sp>
    <xdr:clientData/>
  </xdr:twoCellAnchor>
  <xdr:twoCellAnchor>
    <xdr:from>
      <xdr:col>4</xdr:col>
      <xdr:colOff>1400175</xdr:colOff>
      <xdr:row>65</xdr:row>
      <xdr:rowOff>9525</xdr:rowOff>
    </xdr:from>
    <xdr:to>
      <xdr:col>6</xdr:col>
      <xdr:colOff>76200</xdr:colOff>
      <xdr:row>67</xdr:row>
      <xdr:rowOff>152400</xdr:rowOff>
    </xdr:to>
    <xdr:sp macro="" textlink="">
      <xdr:nvSpPr>
        <xdr:cNvPr id="17" name="Retângulo: Cantos Arredondados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A16C89A-DFF6-4391-BDD4-F52234857F61}"/>
            </a:ext>
          </a:extLst>
        </xdr:cNvPr>
        <xdr:cNvSpPr/>
      </xdr:nvSpPr>
      <xdr:spPr>
        <a:xfrm>
          <a:off x="5324475" y="13849350"/>
          <a:ext cx="1562100" cy="523875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2400"/>
            <a:t>Semana</a:t>
          </a:r>
          <a:r>
            <a:rPr lang="pt-BR" sz="2400" baseline="0"/>
            <a:t> 3</a:t>
          </a:r>
          <a:endParaRPr lang="pt-BR" sz="2400"/>
        </a:p>
      </xdr:txBody>
    </xdr:sp>
    <xdr:clientData/>
  </xdr:twoCellAnchor>
  <xdr:twoCellAnchor>
    <xdr:from>
      <xdr:col>6</xdr:col>
      <xdr:colOff>866775</xdr:colOff>
      <xdr:row>64</xdr:row>
      <xdr:rowOff>180975</xdr:rowOff>
    </xdr:from>
    <xdr:to>
      <xdr:col>8</xdr:col>
      <xdr:colOff>476250</xdr:colOff>
      <xdr:row>67</xdr:row>
      <xdr:rowOff>133350</xdr:rowOff>
    </xdr:to>
    <xdr:sp macro="" textlink="">
      <xdr:nvSpPr>
        <xdr:cNvPr id="18" name="Retângulo: Cantos Arredondados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DA48DA2-F7F3-4118-8FEF-2507FAA4107B}"/>
            </a:ext>
          </a:extLst>
        </xdr:cNvPr>
        <xdr:cNvSpPr/>
      </xdr:nvSpPr>
      <xdr:spPr>
        <a:xfrm>
          <a:off x="7677150" y="13830300"/>
          <a:ext cx="1562100" cy="523875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2400"/>
            <a:t>Semana</a:t>
          </a:r>
          <a:r>
            <a:rPr lang="pt-BR" sz="2400" baseline="0"/>
            <a:t> 4</a:t>
          </a:r>
          <a:endParaRPr lang="pt-BR" sz="2400"/>
        </a:p>
      </xdr:txBody>
    </xdr:sp>
    <xdr:clientData/>
  </xdr:twoCellAnchor>
  <xdr:twoCellAnchor>
    <xdr:from>
      <xdr:col>9</xdr:col>
      <xdr:colOff>495300</xdr:colOff>
      <xdr:row>65</xdr:row>
      <xdr:rowOff>9525</xdr:rowOff>
    </xdr:from>
    <xdr:to>
      <xdr:col>11</xdr:col>
      <xdr:colOff>104775</xdr:colOff>
      <xdr:row>67</xdr:row>
      <xdr:rowOff>152400</xdr:rowOff>
    </xdr:to>
    <xdr:sp macro="" textlink="">
      <xdr:nvSpPr>
        <xdr:cNvPr id="19" name="Retângulo: Cantos Arredondados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D8BF6DB-E015-447F-B6C9-C955283329FD}"/>
            </a:ext>
          </a:extLst>
        </xdr:cNvPr>
        <xdr:cNvSpPr/>
      </xdr:nvSpPr>
      <xdr:spPr>
        <a:xfrm>
          <a:off x="9982200" y="13849350"/>
          <a:ext cx="1562100" cy="523875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2400"/>
            <a:t>Semana</a:t>
          </a:r>
          <a:r>
            <a:rPr lang="pt-BR" sz="2400" baseline="0"/>
            <a:t> 5</a:t>
          </a:r>
          <a:endParaRPr lang="pt-BR" sz="2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14</xdr:row>
      <xdr:rowOff>171450</xdr:rowOff>
    </xdr:from>
    <xdr:to>
      <xdr:col>1</xdr:col>
      <xdr:colOff>695326</xdr:colOff>
      <xdr:row>17</xdr:row>
      <xdr:rowOff>171450</xdr:rowOff>
    </xdr:to>
    <xdr:sp macro="[0]!Exclui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B9D3C74-F0D3-4EB9-9A1E-93CFB7BF91CE}"/>
            </a:ext>
          </a:extLst>
        </xdr:cNvPr>
        <xdr:cNvSpPr/>
      </xdr:nvSpPr>
      <xdr:spPr>
        <a:xfrm>
          <a:off x="123826" y="3105150"/>
          <a:ext cx="13335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Excluir</a:t>
          </a:r>
          <a:endParaRPr lang="pt-BR" sz="1100"/>
        </a:p>
      </xdr:txBody>
    </xdr:sp>
    <xdr:clientData/>
  </xdr:twoCellAnchor>
  <xdr:twoCellAnchor>
    <xdr:from>
      <xdr:col>0</xdr:col>
      <xdr:colOff>104774</xdr:colOff>
      <xdr:row>10</xdr:row>
      <xdr:rowOff>9526</xdr:rowOff>
    </xdr:from>
    <xdr:to>
      <xdr:col>1</xdr:col>
      <xdr:colOff>800100</xdr:colOff>
      <xdr:row>13</xdr:row>
      <xdr:rowOff>47626</xdr:rowOff>
    </xdr:to>
    <xdr:sp macro="[0]!Macro1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BF4030F-4F12-43B9-9754-15DA18DB00D6}"/>
            </a:ext>
          </a:extLst>
        </xdr:cNvPr>
        <xdr:cNvSpPr/>
      </xdr:nvSpPr>
      <xdr:spPr>
        <a:xfrm>
          <a:off x="104774" y="2181226"/>
          <a:ext cx="1457326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Adicionar</a:t>
          </a:r>
          <a:endParaRPr lang="pt-BR" sz="1100"/>
        </a:p>
      </xdr:txBody>
    </xdr:sp>
    <xdr:clientData/>
  </xdr:twoCellAnchor>
  <xdr:twoCellAnchor>
    <xdr:from>
      <xdr:col>0</xdr:col>
      <xdr:colOff>123824</xdr:colOff>
      <xdr:row>4</xdr:row>
      <xdr:rowOff>182146</xdr:rowOff>
    </xdr:from>
    <xdr:to>
      <xdr:col>1</xdr:col>
      <xdr:colOff>761624</xdr:colOff>
      <xdr:row>8</xdr:row>
      <xdr:rowOff>19051</xdr:rowOff>
    </xdr:to>
    <xdr:sp macro="[0]!Macro13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05D2EFE-0C2D-4179-A066-A374DB395B14}"/>
            </a:ext>
          </a:extLst>
        </xdr:cNvPr>
        <xdr:cNvSpPr/>
      </xdr:nvSpPr>
      <xdr:spPr>
        <a:xfrm>
          <a:off x="123824" y="1210846"/>
          <a:ext cx="1399800" cy="5989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Produto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15</xdr:row>
      <xdr:rowOff>76200</xdr:rowOff>
    </xdr:from>
    <xdr:to>
      <xdr:col>5</xdr:col>
      <xdr:colOff>638175</xdr:colOff>
      <xdr:row>18</xdr:row>
      <xdr:rowOff>28575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14F395-7326-4C86-8728-E5092311C100}"/>
            </a:ext>
          </a:extLst>
        </xdr:cNvPr>
        <xdr:cNvSpPr/>
      </xdr:nvSpPr>
      <xdr:spPr>
        <a:xfrm>
          <a:off x="5229225" y="2933700"/>
          <a:ext cx="1562100" cy="523875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2400"/>
            <a:t>Semana</a:t>
          </a:r>
          <a:r>
            <a:rPr lang="pt-BR" sz="2400" baseline="0"/>
            <a:t> 1</a:t>
          </a:r>
          <a:endParaRPr lang="pt-BR" sz="2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133352</xdr:colOff>
      <xdr:row>14</xdr:row>
      <xdr:rowOff>151229</xdr:rowOff>
    </xdr:from>
    <xdr:to>
      <xdr:col>1</xdr:col>
      <xdr:colOff>704852</xdr:colOff>
      <xdr:row>17</xdr:row>
      <xdr:rowOff>151229</xdr:rowOff>
    </xdr:to>
    <xdr:sp macro="[0]!Exclui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74EF474-983F-485E-8773-F4B32C7481D7}"/>
            </a:ext>
          </a:extLst>
        </xdr:cNvPr>
        <xdr:cNvSpPr/>
      </xdr:nvSpPr>
      <xdr:spPr>
        <a:xfrm>
          <a:off x="133352" y="3084929"/>
          <a:ext cx="13335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Excluir</a:t>
          </a:r>
          <a:endParaRPr lang="pt-BR" sz="1100"/>
        </a:p>
      </xdr:txBody>
    </xdr:sp>
    <xdr:clientData/>
  </xdr:twoCellAnchor>
  <xdr:twoCellAnchor>
    <xdr:from>
      <xdr:col>0</xdr:col>
      <xdr:colOff>114300</xdr:colOff>
      <xdr:row>9</xdr:row>
      <xdr:rowOff>179805</xdr:rowOff>
    </xdr:from>
    <xdr:to>
      <xdr:col>1</xdr:col>
      <xdr:colOff>809626</xdr:colOff>
      <xdr:row>13</xdr:row>
      <xdr:rowOff>27405</xdr:rowOff>
    </xdr:to>
    <xdr:sp macro="[0]!Macro1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FBA7E97-E87B-48A8-B748-B90386B2CDC3}"/>
            </a:ext>
          </a:extLst>
        </xdr:cNvPr>
        <xdr:cNvSpPr/>
      </xdr:nvSpPr>
      <xdr:spPr>
        <a:xfrm>
          <a:off x="114300" y="2161005"/>
          <a:ext cx="1457326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Adicionar</a:t>
          </a:r>
          <a:endParaRPr lang="pt-BR" sz="1100"/>
        </a:p>
      </xdr:txBody>
    </xdr:sp>
    <xdr:clientData/>
  </xdr:twoCellAnchor>
  <xdr:twoCellAnchor>
    <xdr:from>
      <xdr:col>0</xdr:col>
      <xdr:colOff>133350</xdr:colOff>
      <xdr:row>4</xdr:row>
      <xdr:rowOff>161925</xdr:rowOff>
    </xdr:from>
    <xdr:to>
      <xdr:col>1</xdr:col>
      <xdr:colOff>771150</xdr:colOff>
      <xdr:row>7</xdr:row>
      <xdr:rowOff>189330</xdr:rowOff>
    </xdr:to>
    <xdr:sp macro="[0]!Macro13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ADD2109-1B3A-4D2B-8A0B-4BC1D1823B67}"/>
            </a:ext>
          </a:extLst>
        </xdr:cNvPr>
        <xdr:cNvSpPr/>
      </xdr:nvSpPr>
      <xdr:spPr>
        <a:xfrm>
          <a:off x="133350" y="1190625"/>
          <a:ext cx="1399800" cy="5989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Produto</a:t>
          </a:r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0</xdr:rowOff>
    </xdr:from>
    <xdr:to>
      <xdr:col>6</xdr:col>
      <xdr:colOff>247650</xdr:colOff>
      <xdr:row>17</xdr:row>
      <xdr:rowOff>142875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CE6D6D-16C5-4374-9B87-B21BCB3A308A}"/>
            </a:ext>
          </a:extLst>
        </xdr:cNvPr>
        <xdr:cNvSpPr/>
      </xdr:nvSpPr>
      <xdr:spPr>
        <a:xfrm>
          <a:off x="6153150" y="2857500"/>
          <a:ext cx="1562100" cy="523875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2400"/>
            <a:t>Semana</a:t>
          </a:r>
          <a:r>
            <a:rPr lang="pt-BR" sz="2400" baseline="0"/>
            <a:t> 2</a:t>
          </a:r>
          <a:endParaRPr lang="pt-BR" sz="24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114302</xdr:colOff>
      <xdr:row>14</xdr:row>
      <xdr:rowOff>122654</xdr:rowOff>
    </xdr:from>
    <xdr:to>
      <xdr:col>1</xdr:col>
      <xdr:colOff>685802</xdr:colOff>
      <xdr:row>17</xdr:row>
      <xdr:rowOff>122654</xdr:rowOff>
    </xdr:to>
    <xdr:sp macro="[0]!Exclui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2E13703-A681-4910-8EB0-3480C3C488AE}"/>
            </a:ext>
          </a:extLst>
        </xdr:cNvPr>
        <xdr:cNvSpPr/>
      </xdr:nvSpPr>
      <xdr:spPr>
        <a:xfrm>
          <a:off x="114302" y="3056354"/>
          <a:ext cx="13335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Excluir</a:t>
          </a:r>
          <a:endParaRPr lang="pt-BR" sz="1100"/>
        </a:p>
      </xdr:txBody>
    </xdr:sp>
    <xdr:clientData/>
  </xdr:twoCellAnchor>
  <xdr:twoCellAnchor>
    <xdr:from>
      <xdr:col>0</xdr:col>
      <xdr:colOff>95250</xdr:colOff>
      <xdr:row>9</xdr:row>
      <xdr:rowOff>151230</xdr:rowOff>
    </xdr:from>
    <xdr:to>
      <xdr:col>1</xdr:col>
      <xdr:colOff>790576</xdr:colOff>
      <xdr:row>12</xdr:row>
      <xdr:rowOff>189330</xdr:rowOff>
    </xdr:to>
    <xdr:sp macro="[0]!Macro1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028D648-8DC5-48E5-9603-DEAC6811A9FC}"/>
            </a:ext>
          </a:extLst>
        </xdr:cNvPr>
        <xdr:cNvSpPr/>
      </xdr:nvSpPr>
      <xdr:spPr>
        <a:xfrm>
          <a:off x="95250" y="2132430"/>
          <a:ext cx="1457326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Adicionar</a:t>
          </a:r>
          <a:endParaRPr lang="pt-BR" sz="1100"/>
        </a:p>
      </xdr:txBody>
    </xdr:sp>
    <xdr:clientData/>
  </xdr:twoCellAnchor>
  <xdr:twoCellAnchor>
    <xdr:from>
      <xdr:col>0</xdr:col>
      <xdr:colOff>114300</xdr:colOff>
      <xdr:row>4</xdr:row>
      <xdr:rowOff>133350</xdr:rowOff>
    </xdr:from>
    <xdr:to>
      <xdr:col>1</xdr:col>
      <xdr:colOff>752100</xdr:colOff>
      <xdr:row>7</xdr:row>
      <xdr:rowOff>160755</xdr:rowOff>
    </xdr:to>
    <xdr:sp macro="[0]!Macro13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780E057-934D-49F2-B039-9C0866433058}"/>
            </a:ext>
          </a:extLst>
        </xdr:cNvPr>
        <xdr:cNvSpPr/>
      </xdr:nvSpPr>
      <xdr:spPr>
        <a:xfrm>
          <a:off x="114300" y="1162050"/>
          <a:ext cx="1399800" cy="5989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Produto</a:t>
          </a:r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0</xdr:rowOff>
    </xdr:from>
    <xdr:to>
      <xdr:col>6</xdr:col>
      <xdr:colOff>247650</xdr:colOff>
      <xdr:row>17</xdr:row>
      <xdr:rowOff>142875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8EB8B6-238F-42B9-86F4-D4BCC8C10B9E}"/>
            </a:ext>
          </a:extLst>
        </xdr:cNvPr>
        <xdr:cNvSpPr/>
      </xdr:nvSpPr>
      <xdr:spPr>
        <a:xfrm>
          <a:off x="6153150" y="2857500"/>
          <a:ext cx="1562100" cy="523875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2400"/>
            <a:t>Semana</a:t>
          </a:r>
          <a:r>
            <a:rPr lang="pt-BR" sz="2400" baseline="0"/>
            <a:t> 3</a:t>
          </a:r>
          <a:endParaRPr lang="pt-BR" sz="24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133352</xdr:colOff>
      <xdr:row>14</xdr:row>
      <xdr:rowOff>27404</xdr:rowOff>
    </xdr:from>
    <xdr:to>
      <xdr:col>1</xdr:col>
      <xdr:colOff>704852</xdr:colOff>
      <xdr:row>17</xdr:row>
      <xdr:rowOff>27404</xdr:rowOff>
    </xdr:to>
    <xdr:sp macro="[0]!Exclui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E3AA3E8-F534-4349-B43C-2CD6AA69B906}"/>
            </a:ext>
          </a:extLst>
        </xdr:cNvPr>
        <xdr:cNvSpPr/>
      </xdr:nvSpPr>
      <xdr:spPr>
        <a:xfrm>
          <a:off x="133352" y="2961104"/>
          <a:ext cx="13335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Excluir</a:t>
          </a:r>
          <a:endParaRPr lang="pt-BR" sz="1100"/>
        </a:p>
      </xdr:txBody>
    </xdr:sp>
    <xdr:clientData/>
  </xdr:twoCellAnchor>
  <xdr:twoCellAnchor>
    <xdr:from>
      <xdr:col>0</xdr:col>
      <xdr:colOff>114300</xdr:colOff>
      <xdr:row>9</xdr:row>
      <xdr:rowOff>55980</xdr:rowOff>
    </xdr:from>
    <xdr:to>
      <xdr:col>1</xdr:col>
      <xdr:colOff>809626</xdr:colOff>
      <xdr:row>12</xdr:row>
      <xdr:rowOff>94080</xdr:rowOff>
    </xdr:to>
    <xdr:sp macro="[0]!Macro1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2F289DA-340D-48B0-8669-7B829FFF6DB3}"/>
            </a:ext>
          </a:extLst>
        </xdr:cNvPr>
        <xdr:cNvSpPr/>
      </xdr:nvSpPr>
      <xdr:spPr>
        <a:xfrm>
          <a:off x="114300" y="2037180"/>
          <a:ext cx="1457326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Adicionar</a:t>
          </a:r>
          <a:endParaRPr lang="pt-BR" sz="1100"/>
        </a:p>
      </xdr:txBody>
    </xdr:sp>
    <xdr:clientData/>
  </xdr:twoCellAnchor>
  <xdr:twoCellAnchor>
    <xdr:from>
      <xdr:col>0</xdr:col>
      <xdr:colOff>133350</xdr:colOff>
      <xdr:row>4</xdr:row>
      <xdr:rowOff>38100</xdr:rowOff>
    </xdr:from>
    <xdr:to>
      <xdr:col>1</xdr:col>
      <xdr:colOff>771150</xdr:colOff>
      <xdr:row>7</xdr:row>
      <xdr:rowOff>65505</xdr:rowOff>
    </xdr:to>
    <xdr:sp macro="[0]!Macro13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DEAADC6-76D7-4E87-B141-92A17DE66704}"/>
            </a:ext>
          </a:extLst>
        </xdr:cNvPr>
        <xdr:cNvSpPr/>
      </xdr:nvSpPr>
      <xdr:spPr>
        <a:xfrm>
          <a:off x="133350" y="1066800"/>
          <a:ext cx="1399800" cy="5989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Produto</a:t>
          </a:r>
          <a:endParaRPr lang="pt-B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13</xdr:row>
      <xdr:rowOff>0</xdr:rowOff>
    </xdr:from>
    <xdr:to>
      <xdr:col>6</xdr:col>
      <xdr:colOff>247650</xdr:colOff>
      <xdr:row>15</xdr:row>
      <xdr:rowOff>142875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AB8525-3FF8-4A45-9C1A-231B79B32D6E}"/>
            </a:ext>
          </a:extLst>
        </xdr:cNvPr>
        <xdr:cNvSpPr/>
      </xdr:nvSpPr>
      <xdr:spPr>
        <a:xfrm>
          <a:off x="6153150" y="2476500"/>
          <a:ext cx="1562100" cy="523875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2400"/>
            <a:t>Semana</a:t>
          </a:r>
          <a:r>
            <a:rPr lang="pt-BR" sz="2400" baseline="0"/>
            <a:t> 4</a:t>
          </a:r>
          <a:endParaRPr lang="pt-BR" sz="24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104777</xdr:colOff>
      <xdr:row>15</xdr:row>
      <xdr:rowOff>46454</xdr:rowOff>
    </xdr:from>
    <xdr:to>
      <xdr:col>1</xdr:col>
      <xdr:colOff>676277</xdr:colOff>
      <xdr:row>18</xdr:row>
      <xdr:rowOff>46454</xdr:rowOff>
    </xdr:to>
    <xdr:sp macro="[0]!Exclui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EFD9BF0-676F-4B9F-82C3-54DB93516395}"/>
            </a:ext>
          </a:extLst>
        </xdr:cNvPr>
        <xdr:cNvSpPr/>
      </xdr:nvSpPr>
      <xdr:spPr>
        <a:xfrm>
          <a:off x="104777" y="2980154"/>
          <a:ext cx="13335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Excluir</a:t>
          </a:r>
          <a:endParaRPr lang="pt-BR" sz="1100"/>
        </a:p>
      </xdr:txBody>
    </xdr:sp>
    <xdr:clientData/>
  </xdr:twoCellAnchor>
  <xdr:twoCellAnchor>
    <xdr:from>
      <xdr:col>0</xdr:col>
      <xdr:colOff>85725</xdr:colOff>
      <xdr:row>10</xdr:row>
      <xdr:rowOff>75030</xdr:rowOff>
    </xdr:from>
    <xdr:to>
      <xdr:col>1</xdr:col>
      <xdr:colOff>781051</xdr:colOff>
      <xdr:row>13</xdr:row>
      <xdr:rowOff>113130</xdr:rowOff>
    </xdr:to>
    <xdr:sp macro="[0]!Macro1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DBA04B6-948F-4198-A932-11B7A26622AB}"/>
            </a:ext>
          </a:extLst>
        </xdr:cNvPr>
        <xdr:cNvSpPr/>
      </xdr:nvSpPr>
      <xdr:spPr>
        <a:xfrm>
          <a:off x="85725" y="2056230"/>
          <a:ext cx="1457326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Adicionar</a:t>
          </a:r>
          <a:endParaRPr lang="pt-BR" sz="1100"/>
        </a:p>
      </xdr:txBody>
    </xdr:sp>
    <xdr:clientData/>
  </xdr:twoCellAnchor>
  <xdr:twoCellAnchor>
    <xdr:from>
      <xdr:col>0</xdr:col>
      <xdr:colOff>104775</xdr:colOff>
      <xdr:row>4</xdr:row>
      <xdr:rowOff>57150</xdr:rowOff>
    </xdr:from>
    <xdr:to>
      <xdr:col>1</xdr:col>
      <xdr:colOff>742575</xdr:colOff>
      <xdr:row>8</xdr:row>
      <xdr:rowOff>84555</xdr:rowOff>
    </xdr:to>
    <xdr:sp macro="[0]!Macro13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A1AA396-07C2-4FD8-A67F-00B64018C445}"/>
            </a:ext>
          </a:extLst>
        </xdr:cNvPr>
        <xdr:cNvSpPr/>
      </xdr:nvSpPr>
      <xdr:spPr>
        <a:xfrm>
          <a:off x="104775" y="1085850"/>
          <a:ext cx="1399800" cy="5989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Produto</a:t>
          </a:r>
          <a:endParaRPr lang="pt-BR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0</xdr:rowOff>
    </xdr:from>
    <xdr:to>
      <xdr:col>6</xdr:col>
      <xdr:colOff>247650</xdr:colOff>
      <xdr:row>17</xdr:row>
      <xdr:rowOff>142875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04A6B0-F717-4226-A732-74357DAC363C}"/>
            </a:ext>
          </a:extLst>
        </xdr:cNvPr>
        <xdr:cNvSpPr/>
      </xdr:nvSpPr>
      <xdr:spPr>
        <a:xfrm>
          <a:off x="6153150" y="2857500"/>
          <a:ext cx="1562100" cy="523875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2400"/>
            <a:t>Semana</a:t>
          </a:r>
          <a:r>
            <a:rPr lang="pt-BR" sz="2400" baseline="0"/>
            <a:t> 5</a:t>
          </a:r>
          <a:endParaRPr lang="pt-BR" sz="24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as" refreshedDate="44870.96494027778" createdVersion="6" refreshedVersion="6" minRefreshableVersion="3" recordCount="25" xr:uid="{52864476-0BBF-423B-B8B3-0F0D49517E69}">
  <cacheSource type="worksheet">
    <worksheetSource name="Tabela79"/>
  </cacheSource>
  <cacheFields count="12">
    <cacheField name="Id da Venda" numFmtId="0">
      <sharedItems containsSemiMixedTypes="0" containsString="0" containsNumber="1" containsInteger="1" minValue="1" maxValue="13"/>
    </cacheField>
    <cacheField name="Data da Vend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s" numFmtId="0">
      <sharedItems count="24">
        <s v="Arroz"/>
        <s v="Amendoim"/>
        <s v="Bala"/>
        <s v="Barra de Cereal"/>
        <s v="Caixa de Fósforo"/>
        <s v="Carne"/>
        <s v="Cenoura"/>
        <s v="Cerveja"/>
        <s v="Chocolate"/>
        <s v="Cigarro"/>
        <s v="Couve"/>
        <s v="Feijão"/>
        <s v="Frango"/>
        <s v="Leite"/>
        <s v="Pão de Forma"/>
        <s v="Peixe"/>
        <s v="Queijo"/>
        <s v="Refrigerante"/>
        <s v="Suco"/>
        <s v="Tomate"/>
        <s v="Vagem"/>
        <s v="Vinho"/>
        <s v="Vodka"/>
        <s v="Alface"/>
      </sharedItems>
    </cacheField>
    <cacheField name="Unidade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.79" maxValue="54.9"/>
    </cacheField>
    <cacheField name="SubTotal" numFmtId="44">
      <sharedItems containsSemiMixedTypes="0" containsString="0" containsNumber="1" minValue="1.1499999999999999" maxValue="286.79999999999995"/>
    </cacheField>
    <cacheField name="Desconto" numFmtId="9">
      <sharedItems containsString="0" containsBlank="1" containsNumber="1" minValue="0.02" maxValue="0.12"/>
    </cacheField>
    <cacheField name="Entrega" numFmtId="0">
      <sharedItems count="5">
        <s v="Zona Sul"/>
        <s v="Centro"/>
        <s v="Zona Norte"/>
        <s v="Loja"/>
        <s v="Zona Oeste"/>
      </sharedItems>
    </cacheField>
    <cacheField name="Valor da Entrega" numFmtId="0">
      <sharedItems containsSemiMixedTypes="0" containsString="0" containsNumber="1" minValue="0" maxValue="8"/>
    </cacheField>
    <cacheField name="Total" numFmtId="164">
      <sharedItems containsSemiMixedTypes="0" containsString="0" containsNumber="1" minValue="1.0924999999999998" maxValue="1720.7999999999997"/>
    </cacheField>
    <cacheField name="Total Cliente" numFmtId="164">
      <sharedItems containsMixedTypes="1" containsNumber="1" minValue="1.0924999999999998" maxValue="1877.66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as" refreshedDate="44870.986904398145" createdVersion="6" refreshedVersion="6" minRefreshableVersion="3" recordCount="25" xr:uid="{D6B17299-C2E7-46C9-89FC-CDF23D3FA78B}">
  <cacheSource type="worksheet">
    <worksheetSource name="Tabela711"/>
  </cacheSource>
  <cacheFields count="12">
    <cacheField name="Id da Venda" numFmtId="0">
      <sharedItems containsSemiMixedTypes="0" containsString="0" containsNumber="1" containsInteger="1" minValue="1" maxValue="13"/>
    </cacheField>
    <cacheField name="Data da Vend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s" numFmtId="0">
      <sharedItems count="24">
        <s v="Arroz"/>
        <s v="Amendoim"/>
        <s v="Bala"/>
        <s v="Barra de Cereal"/>
        <s v="Caixa de Fósforo"/>
        <s v="Carne"/>
        <s v="Cenoura"/>
        <s v="Cerveja"/>
        <s v="Chocolate"/>
        <s v="Cigarro"/>
        <s v="Couve"/>
        <s v="Feijão"/>
        <s v="Frango"/>
        <s v="Leite"/>
        <s v="Pão de Forma"/>
        <s v="Peixe"/>
        <s v="Queijo"/>
        <s v="Refrigerante"/>
        <s v="Suco"/>
        <s v="Tomate"/>
        <s v="Vagem"/>
        <s v="Vinho"/>
        <s v="Vodka"/>
        <s v="Alface"/>
      </sharedItems>
    </cacheField>
    <cacheField name="Unidade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.79" maxValue="54.9"/>
    </cacheField>
    <cacheField name="SubTotal" numFmtId="44">
      <sharedItems containsSemiMixedTypes="0" containsString="0" containsNumber="1" minValue="1.1499999999999999" maxValue="286.79999999999995"/>
    </cacheField>
    <cacheField name="Desconto" numFmtId="9">
      <sharedItems containsString="0" containsBlank="1" containsNumber="1" minValue="0.02" maxValue="0.12"/>
    </cacheField>
    <cacheField name="Entrega" numFmtId="0">
      <sharedItems/>
    </cacheField>
    <cacheField name="Valor da Entrega" numFmtId="44">
      <sharedItems containsSemiMixedTypes="0" containsString="0" containsNumber="1" minValue="0" maxValue="8"/>
    </cacheField>
    <cacheField name="Total" numFmtId="164">
      <sharedItems containsSemiMixedTypes="0" containsString="0" containsNumber="1" minValue="1.0924999999999998" maxValue="1720.7999999999997"/>
    </cacheField>
    <cacheField name="Total Cliente" numFmtId="164">
      <sharedItems containsMixedTypes="1" containsNumber="1" minValue="1.0924999999999998" maxValue="1877.66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as" refreshedDate="44870.98951446759" createdVersion="6" refreshedVersion="6" minRefreshableVersion="3" recordCount="25" xr:uid="{7C0857F2-114F-4774-A962-7554775863B7}">
  <cacheSource type="worksheet">
    <worksheetSource name="Tabela710"/>
  </cacheSource>
  <cacheFields count="12">
    <cacheField name="Id da Venda" numFmtId="0">
      <sharedItems containsSemiMixedTypes="0" containsString="0" containsNumber="1" containsInteger="1" minValue="1" maxValue="13"/>
    </cacheField>
    <cacheField name="Data da Venda" numFmtId="14">
      <sharedItems containsSemiMixedTypes="0" containsNonDate="0" containsDate="1" containsString="0" minDate="2015-07-02T00:00:00" maxDate="2015-07-06T00:00:00"/>
    </cacheField>
    <cacheField name="Produtos" numFmtId="0">
      <sharedItems count="24">
        <s v="Arroz"/>
        <s v="Amendoim"/>
        <s v="Bala"/>
        <s v="Barra de Cereal"/>
        <s v="Caixa de Fósforo"/>
        <s v="Carne"/>
        <s v="Cenoura"/>
        <s v="Cerveja"/>
        <s v="Chocolate"/>
        <s v="Cigarro"/>
        <s v="Couve"/>
        <s v="Feijão"/>
        <s v="Frango"/>
        <s v="Leite"/>
        <s v="Pão de Forma"/>
        <s v="Peixe"/>
        <s v="Queijo"/>
        <s v="Refrigerante"/>
        <s v="Suco"/>
        <s v="Tomate"/>
        <s v="Vagem"/>
        <s v="Vinho"/>
        <s v="Vodka"/>
        <s v="Alface"/>
      </sharedItems>
    </cacheField>
    <cacheField name="Unidade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.79" maxValue="54.9"/>
    </cacheField>
    <cacheField name="SubTotal" numFmtId="44">
      <sharedItems containsSemiMixedTypes="0" containsString="0" containsNumber="1" minValue="1.1499999999999999" maxValue="286.79999999999995"/>
    </cacheField>
    <cacheField name="Desconto" numFmtId="9">
      <sharedItems containsString="0" containsBlank="1" containsNumber="1" minValue="0.02" maxValue="0.12"/>
    </cacheField>
    <cacheField name="Entrega" numFmtId="0">
      <sharedItems count="5">
        <s v="Zona Sul"/>
        <s v="Centro"/>
        <s v="Zona Norte"/>
        <s v="Loja"/>
        <s v="Zona Oeste"/>
      </sharedItems>
    </cacheField>
    <cacheField name="Valor da Entrega" numFmtId="44">
      <sharedItems containsSemiMixedTypes="0" containsString="0" containsNumber="1" minValue="0" maxValue="8"/>
    </cacheField>
    <cacheField name="Total" numFmtId="164">
      <sharedItems containsSemiMixedTypes="0" containsString="0" containsNumber="1" minValue="1.0924999999999998" maxValue="1720.7999999999997"/>
    </cacheField>
    <cacheField name="Total Cliente" numFmtId="164">
      <sharedItems containsMixedTypes="1" containsNumber="1" minValue="1.0924999999999998" maxValue="1877.66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as" refreshedDate="44870.98995787037" createdVersion="6" refreshedVersion="6" minRefreshableVersion="3" recordCount="25" xr:uid="{B34C316C-CB07-4224-BD9A-629F613F48E5}">
  <cacheSource type="worksheet">
    <worksheetSource name="Tabela712"/>
  </cacheSource>
  <cacheFields count="12">
    <cacheField name="Id da Venda" numFmtId="0">
      <sharedItems containsSemiMixedTypes="0" containsString="0" containsNumber="1" containsInteger="1" minValue="1" maxValue="13"/>
    </cacheField>
    <cacheField name="Data da Venda" numFmtId="14">
      <sharedItems containsSemiMixedTypes="0" containsNonDate="0" containsDate="1" containsString="0" minDate="2015-07-02T00:00:00" maxDate="2015-07-06T00:00:00"/>
    </cacheField>
    <cacheField name="Produtos" numFmtId="0">
      <sharedItems count="24">
        <s v="Arroz"/>
        <s v="Amendoim"/>
        <s v="Bala"/>
        <s v="Barra de Cereal"/>
        <s v="Caixa de Fósforo"/>
        <s v="Carne"/>
        <s v="Cenoura"/>
        <s v="Cerveja"/>
        <s v="Chocolate"/>
        <s v="Cigarro"/>
        <s v="Couve"/>
        <s v="Feijão"/>
        <s v="Frango"/>
        <s v="Leite"/>
        <s v="Pão de Forma"/>
        <s v="Peixe"/>
        <s v="Queijo"/>
        <s v="Refrigerante"/>
        <s v="Suco"/>
        <s v="Tomate"/>
        <s v="Vagem"/>
        <s v="Vinho"/>
        <s v="Vodka"/>
        <s v="Alface"/>
      </sharedItems>
    </cacheField>
    <cacheField name="Unidade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.79" maxValue="54.9"/>
    </cacheField>
    <cacheField name="SubTotal" numFmtId="44">
      <sharedItems containsSemiMixedTypes="0" containsString="0" containsNumber="1" minValue="1.1499999999999999" maxValue="286.79999999999995"/>
    </cacheField>
    <cacheField name="Desconto" numFmtId="9">
      <sharedItems containsString="0" containsBlank="1" containsNumber="1" minValue="0.02" maxValue="0.12"/>
    </cacheField>
    <cacheField name="Entrega" numFmtId="0">
      <sharedItems count="5">
        <s v="Zona Sul"/>
        <s v="Centro"/>
        <s v="Zona Norte"/>
        <s v="Loja"/>
        <s v="Zona Oeste"/>
      </sharedItems>
    </cacheField>
    <cacheField name="Valor da Entrega" numFmtId="44">
      <sharedItems containsSemiMixedTypes="0" containsString="0" containsNumber="1" minValue="0" maxValue="8"/>
    </cacheField>
    <cacheField name="Total" numFmtId="164">
      <sharedItems containsSemiMixedTypes="0" containsString="0" containsNumber="1" minValue="1.0924999999999998" maxValue="1720.7999999999997"/>
    </cacheField>
    <cacheField name="Total Cliente" numFmtId="164">
      <sharedItems containsMixedTypes="1" containsNumber="1" minValue="1.0924999999999998" maxValue="1877.66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as" refreshedDate="44870.990379861112" createdVersion="6" refreshedVersion="6" minRefreshableVersion="3" recordCount="25" xr:uid="{CA475F5E-DCC3-47CF-B948-9AEE520EFFE7}">
  <cacheSource type="worksheet">
    <worksheetSource name="Tabela713"/>
  </cacheSource>
  <cacheFields count="12">
    <cacheField name="Id da Venda" numFmtId="0">
      <sharedItems containsSemiMixedTypes="0" containsString="0" containsNumber="1" containsInteger="1" minValue="1" maxValue="13"/>
    </cacheField>
    <cacheField name="Data da Venda" numFmtId="14">
      <sharedItems containsSemiMixedTypes="0" containsNonDate="0" containsDate="1" containsString="0" minDate="2015-07-02T00:00:00" maxDate="2015-07-06T00:00:00"/>
    </cacheField>
    <cacheField name="Produtos" numFmtId="0">
      <sharedItems count="24">
        <s v="Arroz"/>
        <s v="Amendoim"/>
        <s v="Bala"/>
        <s v="Barra de Cereal"/>
        <s v="Caixa de Fósforo"/>
        <s v="Carne"/>
        <s v="Cenoura"/>
        <s v="Cerveja"/>
        <s v="Chocolate"/>
        <s v="Cigarro"/>
        <s v="Couve"/>
        <s v="Feijão"/>
        <s v="Frango"/>
        <s v="Leite"/>
        <s v="Pão de Forma"/>
        <s v="Peixe"/>
        <s v="Queijo"/>
        <s v="Refrigerante"/>
        <s v="Suco"/>
        <s v="Tomate"/>
        <s v="Vagem"/>
        <s v="Vinho"/>
        <s v="Vodka"/>
        <s v="Alface"/>
      </sharedItems>
    </cacheField>
    <cacheField name="Unidade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.79" maxValue="54.9"/>
    </cacheField>
    <cacheField name="SubTotal" numFmtId="44">
      <sharedItems containsSemiMixedTypes="0" containsString="0" containsNumber="1" minValue="1.1499999999999999" maxValue="286.79999999999995"/>
    </cacheField>
    <cacheField name="Desconto" numFmtId="9">
      <sharedItems containsString="0" containsBlank="1" containsNumber="1" minValue="0.02" maxValue="0.12"/>
    </cacheField>
    <cacheField name="Entrega" numFmtId="0">
      <sharedItems count="5">
        <s v="Zona Sul"/>
        <s v="Centro"/>
        <s v="Zona Norte"/>
        <s v="Loja"/>
        <s v="Zona Oeste"/>
      </sharedItems>
    </cacheField>
    <cacheField name="Valor da Entrega" numFmtId="44">
      <sharedItems containsSemiMixedTypes="0" containsString="0" containsNumber="1" minValue="0" maxValue="8"/>
    </cacheField>
    <cacheField name="Total" numFmtId="164">
      <sharedItems containsSemiMixedTypes="0" containsString="0" containsNumber="1" minValue="1.0924999999999998" maxValue="1720.7999999999997"/>
    </cacheField>
    <cacheField name="Total Cliente" numFmtId="164">
      <sharedItems containsMixedTypes="1" containsNumber="1" minValue="1.0924999999999998" maxValue="1877.66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x v="0"/>
    <x v="0"/>
    <s v="Kg"/>
    <n v="10"/>
    <n v="2.4900000000000002"/>
    <n v="24.900000000000002"/>
    <n v="0.02"/>
    <x v="0"/>
    <n v="6.5"/>
    <n v="186.25200000000004"/>
    <s v=""/>
  </r>
  <r>
    <n v="13"/>
    <x v="0"/>
    <x v="1"/>
    <s v="Pacote"/>
    <n v="1"/>
    <n v="1.1499999999999999"/>
    <n v="1.1499999999999999"/>
    <m/>
    <x v="0"/>
    <n v="6.5"/>
    <n v="8.625"/>
    <s v=""/>
  </r>
  <r>
    <n v="13"/>
    <x v="0"/>
    <x v="0"/>
    <s v="Kg"/>
    <n v="10"/>
    <n v="2.4900000000000002"/>
    <n v="24.900000000000002"/>
    <m/>
    <x v="1"/>
    <n v="5"/>
    <n v="149.4"/>
    <s v=""/>
  </r>
  <r>
    <n v="13"/>
    <x v="0"/>
    <x v="2"/>
    <s v="Pacote"/>
    <n v="24"/>
    <n v="1.99"/>
    <n v="47.76"/>
    <m/>
    <x v="2"/>
    <n v="6.5"/>
    <n v="358.2"/>
    <n v="702.47700000000009"/>
  </r>
  <r>
    <n v="12"/>
    <x v="1"/>
    <x v="3"/>
    <s v="Pacote"/>
    <n v="1"/>
    <n v="1.1499999999999999"/>
    <n v="1.1499999999999999"/>
    <n v="0.05"/>
    <x v="3"/>
    <n v="0"/>
    <n v="1.0924999999999998"/>
    <n v="1.0924999999999998"/>
  </r>
  <r>
    <n v="11"/>
    <x v="1"/>
    <x v="4"/>
    <s v="Pacote"/>
    <n v="10"/>
    <n v="0.79"/>
    <n v="7.9"/>
    <m/>
    <x v="4"/>
    <n v="8"/>
    <n v="71.100000000000009"/>
    <n v="71.100000000000009"/>
  </r>
  <r>
    <n v="10"/>
    <x v="1"/>
    <x v="5"/>
    <s v="Kg"/>
    <n v="6"/>
    <n v="15.9"/>
    <n v="95.4"/>
    <m/>
    <x v="1"/>
    <n v="5"/>
    <n v="572.40000000000009"/>
    <s v=""/>
  </r>
  <r>
    <n v="10"/>
    <x v="1"/>
    <x v="6"/>
    <s v="Kg"/>
    <n v="4"/>
    <n v="3.99"/>
    <n v="15.96"/>
    <m/>
    <x v="3"/>
    <n v="0"/>
    <n v="15.96"/>
    <n v="588.36000000000013"/>
  </r>
  <r>
    <n v="9"/>
    <x v="2"/>
    <x v="7"/>
    <s v="Lata"/>
    <n v="5"/>
    <n v="2.19"/>
    <n v="10.95"/>
    <n v="0.12"/>
    <x v="2"/>
    <n v="6.5"/>
    <n v="80.810999999999993"/>
    <s v=""/>
  </r>
  <r>
    <n v="9"/>
    <x v="2"/>
    <x v="8"/>
    <s v="Barra"/>
    <n v="2"/>
    <n v="4.99"/>
    <n v="9.98"/>
    <m/>
    <x v="0"/>
    <n v="6.5"/>
    <n v="74.850000000000009"/>
    <s v=""/>
  </r>
  <r>
    <n v="9"/>
    <x v="2"/>
    <x v="9"/>
    <s v="Maço"/>
    <n v="1.5"/>
    <n v="6.75"/>
    <n v="10.125"/>
    <m/>
    <x v="4"/>
    <n v="8"/>
    <n v="91.125"/>
    <s v=""/>
  </r>
  <r>
    <n v="9"/>
    <x v="2"/>
    <x v="10"/>
    <s v="Unidade"/>
    <n v="4"/>
    <n v="2.6"/>
    <n v="10.4"/>
    <m/>
    <x v="1"/>
    <n v="5"/>
    <n v="62.400000000000006"/>
    <n v="309.18600000000004"/>
  </r>
  <r>
    <n v="8"/>
    <x v="2"/>
    <x v="11"/>
    <s v="Kg"/>
    <n v="20"/>
    <n v="4.28"/>
    <n v="85.600000000000009"/>
    <n v="0.05"/>
    <x v="3"/>
    <n v="0"/>
    <n v="81.320000000000007"/>
    <n v="81.320000000000007"/>
  </r>
  <r>
    <n v="7"/>
    <x v="2"/>
    <x v="12"/>
    <s v="Kg"/>
    <n v="20"/>
    <n v="6.98"/>
    <n v="139.60000000000002"/>
    <m/>
    <x v="2"/>
    <n v="6.5"/>
    <n v="1047.0000000000002"/>
    <n v="1047.0000000000002"/>
  </r>
  <r>
    <n v="6"/>
    <x v="2"/>
    <x v="13"/>
    <s v="Litro"/>
    <n v="2"/>
    <n v="1.49"/>
    <n v="2.98"/>
    <m/>
    <x v="4"/>
    <n v="8"/>
    <n v="26.82"/>
    <s v=""/>
  </r>
  <r>
    <n v="6"/>
    <x v="2"/>
    <x v="14"/>
    <s v="Unidade"/>
    <n v="6"/>
    <n v="2.89"/>
    <n v="17.34"/>
    <m/>
    <x v="0"/>
    <n v="6.5"/>
    <n v="130.05000000000001"/>
    <s v=""/>
  </r>
  <r>
    <n v="6"/>
    <x v="2"/>
    <x v="15"/>
    <s v="Kg"/>
    <n v="12"/>
    <n v="23.9"/>
    <n v="286.79999999999995"/>
    <m/>
    <x v="1"/>
    <n v="5"/>
    <n v="1720.7999999999997"/>
    <n v="1877.6699999999996"/>
  </r>
  <r>
    <n v="5"/>
    <x v="3"/>
    <x v="16"/>
    <s v="Kg"/>
    <n v="3"/>
    <n v="25.9"/>
    <n v="77.699999999999989"/>
    <m/>
    <x v="3"/>
    <n v="0"/>
    <n v="77.699999999999989"/>
    <n v="77.699999999999989"/>
  </r>
  <r>
    <n v="4"/>
    <x v="3"/>
    <x v="17"/>
    <s v="Litro"/>
    <n v="2"/>
    <n v="2.39"/>
    <n v="4.78"/>
    <n v="0.1"/>
    <x v="2"/>
    <n v="6.5"/>
    <n v="35.372000000000007"/>
    <s v=""/>
  </r>
  <r>
    <n v="4"/>
    <x v="3"/>
    <x v="18"/>
    <s v="Litro"/>
    <n v="5"/>
    <n v="3.45"/>
    <n v="17.25"/>
    <m/>
    <x v="4"/>
    <n v="8"/>
    <n v="155.25"/>
    <n v="190.62200000000001"/>
  </r>
  <r>
    <n v="3"/>
    <x v="3"/>
    <x v="19"/>
    <s v="Kg"/>
    <n v="6"/>
    <n v="5.82"/>
    <n v="34.92"/>
    <m/>
    <x v="0"/>
    <n v="6.5"/>
    <n v="261.90000000000003"/>
    <n v="261.90000000000003"/>
  </r>
  <r>
    <n v="2"/>
    <x v="3"/>
    <x v="20"/>
    <s v="Kg"/>
    <n v="1"/>
    <n v="9.58"/>
    <n v="9.58"/>
    <m/>
    <x v="1"/>
    <n v="5"/>
    <n v="57.480000000000004"/>
    <n v="57.480000000000004"/>
  </r>
  <r>
    <n v="1"/>
    <x v="3"/>
    <x v="21"/>
    <s v="Garrafa"/>
    <n v="2"/>
    <n v="29.9"/>
    <n v="59.8"/>
    <m/>
    <x v="3"/>
    <n v="0"/>
    <n v="59.8"/>
    <s v=""/>
  </r>
  <r>
    <n v="1"/>
    <x v="3"/>
    <x v="22"/>
    <s v="Garrafa"/>
    <n v="3"/>
    <n v="54.9"/>
    <n v="164.7"/>
    <n v="7.0000000000000007E-2"/>
    <x v="2"/>
    <n v="6.5"/>
    <n v="1223.7209999999998"/>
    <s v=""/>
  </r>
  <r>
    <n v="1"/>
    <x v="3"/>
    <x v="23"/>
    <s v="Unidade"/>
    <n v="1"/>
    <n v="2.99"/>
    <n v="2.99"/>
    <m/>
    <x v="4"/>
    <n v="8"/>
    <n v="26.910000000000004"/>
    <n v="1310.430999999999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x v="0"/>
    <x v="0"/>
    <s v="Kg"/>
    <n v="10"/>
    <n v="2.4900000000000002"/>
    <n v="24.900000000000002"/>
    <n v="0.02"/>
    <s v="Zona Sul"/>
    <n v="6.5"/>
    <n v="186.25200000000004"/>
    <s v=""/>
  </r>
  <r>
    <n v="13"/>
    <x v="0"/>
    <x v="1"/>
    <s v="Pacote"/>
    <n v="1"/>
    <n v="1.1499999999999999"/>
    <n v="1.1499999999999999"/>
    <m/>
    <s v="Zona Sul"/>
    <n v="6.5"/>
    <n v="8.625"/>
    <s v=""/>
  </r>
  <r>
    <n v="13"/>
    <x v="0"/>
    <x v="0"/>
    <s v="Kg"/>
    <n v="10"/>
    <n v="2.4900000000000002"/>
    <n v="24.900000000000002"/>
    <m/>
    <s v="Centro"/>
    <n v="5"/>
    <n v="149.4"/>
    <s v=""/>
  </r>
  <r>
    <n v="13"/>
    <x v="0"/>
    <x v="2"/>
    <s v="Pacote"/>
    <n v="24"/>
    <n v="1.99"/>
    <n v="47.76"/>
    <m/>
    <s v="Zona Norte"/>
    <n v="6.5"/>
    <n v="358.2"/>
    <n v="702.47700000000009"/>
  </r>
  <r>
    <n v="12"/>
    <x v="1"/>
    <x v="3"/>
    <s v="Pacote"/>
    <n v="1"/>
    <n v="1.1499999999999999"/>
    <n v="1.1499999999999999"/>
    <n v="0.05"/>
    <s v="Loja"/>
    <n v="0"/>
    <n v="1.0924999999999998"/>
    <n v="1.0924999999999998"/>
  </r>
  <r>
    <n v="11"/>
    <x v="1"/>
    <x v="4"/>
    <s v="Pacote"/>
    <n v="10"/>
    <n v="0.79"/>
    <n v="7.9"/>
    <m/>
    <s v="Zona Oeste"/>
    <n v="8"/>
    <n v="71.100000000000009"/>
    <n v="71.100000000000009"/>
  </r>
  <r>
    <n v="10"/>
    <x v="1"/>
    <x v="5"/>
    <s v="Kg"/>
    <n v="6"/>
    <n v="15.9"/>
    <n v="95.4"/>
    <m/>
    <s v="Centro"/>
    <n v="5"/>
    <n v="572.40000000000009"/>
    <s v=""/>
  </r>
  <r>
    <n v="10"/>
    <x v="1"/>
    <x v="6"/>
    <s v="Kg"/>
    <n v="4"/>
    <n v="3.99"/>
    <n v="15.96"/>
    <m/>
    <s v="Loja"/>
    <n v="0"/>
    <n v="15.96"/>
    <n v="588.36000000000013"/>
  </r>
  <r>
    <n v="9"/>
    <x v="2"/>
    <x v="7"/>
    <s v="Lata"/>
    <n v="5"/>
    <n v="2.19"/>
    <n v="10.95"/>
    <n v="0.12"/>
    <s v="Zona Norte"/>
    <n v="6.5"/>
    <n v="80.810999999999993"/>
    <s v=""/>
  </r>
  <r>
    <n v="9"/>
    <x v="2"/>
    <x v="8"/>
    <s v="Barra"/>
    <n v="2"/>
    <n v="4.99"/>
    <n v="9.98"/>
    <m/>
    <s v="Zona Sul"/>
    <n v="6.5"/>
    <n v="74.850000000000009"/>
    <s v=""/>
  </r>
  <r>
    <n v="9"/>
    <x v="2"/>
    <x v="9"/>
    <s v="Maço"/>
    <n v="1.5"/>
    <n v="6.75"/>
    <n v="10.125"/>
    <m/>
    <s v="Zona Oeste"/>
    <n v="8"/>
    <n v="91.125"/>
    <s v=""/>
  </r>
  <r>
    <n v="9"/>
    <x v="2"/>
    <x v="10"/>
    <s v="Unidade"/>
    <n v="4"/>
    <n v="2.6"/>
    <n v="10.4"/>
    <m/>
    <s v="Centro"/>
    <n v="5"/>
    <n v="62.400000000000006"/>
    <n v="309.18600000000004"/>
  </r>
  <r>
    <n v="8"/>
    <x v="2"/>
    <x v="11"/>
    <s v="Kg"/>
    <n v="20"/>
    <n v="4.28"/>
    <n v="85.600000000000009"/>
    <n v="0.05"/>
    <s v="Loja"/>
    <n v="0"/>
    <n v="81.320000000000007"/>
    <n v="81.320000000000007"/>
  </r>
  <r>
    <n v="7"/>
    <x v="2"/>
    <x v="12"/>
    <s v="Kg"/>
    <n v="20"/>
    <n v="6.98"/>
    <n v="139.60000000000002"/>
    <m/>
    <s v="Zona Norte"/>
    <n v="6.5"/>
    <n v="1047.0000000000002"/>
    <n v="1047.0000000000002"/>
  </r>
  <r>
    <n v="6"/>
    <x v="2"/>
    <x v="13"/>
    <s v="Litro"/>
    <n v="2"/>
    <n v="1.49"/>
    <n v="2.98"/>
    <m/>
    <s v="Zona Oeste"/>
    <n v="8"/>
    <n v="26.82"/>
    <s v=""/>
  </r>
  <r>
    <n v="6"/>
    <x v="2"/>
    <x v="14"/>
    <s v="Unidade"/>
    <n v="6"/>
    <n v="2.89"/>
    <n v="17.34"/>
    <m/>
    <s v="Zona Sul"/>
    <n v="6.5"/>
    <n v="130.05000000000001"/>
    <s v=""/>
  </r>
  <r>
    <n v="6"/>
    <x v="2"/>
    <x v="15"/>
    <s v="Kg"/>
    <n v="12"/>
    <n v="23.9"/>
    <n v="286.79999999999995"/>
    <m/>
    <s v="Centro"/>
    <n v="5"/>
    <n v="1720.7999999999997"/>
    <n v="1877.6699999999996"/>
  </r>
  <r>
    <n v="5"/>
    <x v="3"/>
    <x v="16"/>
    <s v="Kg"/>
    <n v="3"/>
    <n v="25.9"/>
    <n v="77.699999999999989"/>
    <m/>
    <s v="Loja"/>
    <n v="0"/>
    <n v="77.699999999999989"/>
    <n v="77.699999999999989"/>
  </r>
  <r>
    <n v="4"/>
    <x v="3"/>
    <x v="17"/>
    <s v="Litro"/>
    <n v="2"/>
    <n v="2.39"/>
    <n v="4.78"/>
    <n v="0.1"/>
    <s v="Zona Norte"/>
    <n v="6.5"/>
    <n v="35.372000000000007"/>
    <s v=""/>
  </r>
  <r>
    <n v="4"/>
    <x v="3"/>
    <x v="18"/>
    <s v="Litro"/>
    <n v="5"/>
    <n v="3.45"/>
    <n v="17.25"/>
    <m/>
    <s v="Zona Oeste"/>
    <n v="8"/>
    <n v="155.25"/>
    <n v="190.62200000000001"/>
  </r>
  <r>
    <n v="3"/>
    <x v="3"/>
    <x v="19"/>
    <s v="Kg"/>
    <n v="6"/>
    <n v="5.82"/>
    <n v="34.92"/>
    <m/>
    <s v="Zona Sul"/>
    <n v="6.5"/>
    <n v="261.90000000000003"/>
    <n v="261.90000000000003"/>
  </r>
  <r>
    <n v="2"/>
    <x v="3"/>
    <x v="20"/>
    <s v="Kg"/>
    <n v="1"/>
    <n v="9.58"/>
    <n v="9.58"/>
    <m/>
    <s v="Centro"/>
    <n v="5"/>
    <n v="57.480000000000004"/>
    <n v="57.480000000000004"/>
  </r>
  <r>
    <n v="1"/>
    <x v="3"/>
    <x v="21"/>
    <s v="Garrafa"/>
    <n v="2"/>
    <n v="29.9"/>
    <n v="59.8"/>
    <m/>
    <s v="Loja"/>
    <n v="0"/>
    <n v="59.8"/>
    <s v=""/>
  </r>
  <r>
    <n v="1"/>
    <x v="3"/>
    <x v="22"/>
    <s v="Garrafa"/>
    <n v="3"/>
    <n v="54.9"/>
    <n v="164.7"/>
    <n v="7.0000000000000007E-2"/>
    <s v="Zona Norte"/>
    <n v="6.5"/>
    <n v="1223.7209999999998"/>
    <s v=""/>
  </r>
  <r>
    <n v="1"/>
    <x v="3"/>
    <x v="23"/>
    <s v="Unidade"/>
    <n v="1"/>
    <n v="2.99"/>
    <n v="2.99"/>
    <m/>
    <s v="Zona Oeste"/>
    <n v="8"/>
    <n v="26.910000000000004"/>
    <n v="1310.430999999999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d v="2015-07-05T00:00:00"/>
    <x v="0"/>
    <s v="Kg"/>
    <n v="10"/>
    <n v="2.4900000000000002"/>
    <n v="24.900000000000002"/>
    <n v="0.02"/>
    <x v="0"/>
    <n v="6.5"/>
    <n v="186.25200000000004"/>
    <s v=""/>
  </r>
  <r>
    <n v="13"/>
    <d v="2015-07-05T00:00:00"/>
    <x v="1"/>
    <s v="Pacote"/>
    <n v="1"/>
    <n v="1.1499999999999999"/>
    <n v="1.1499999999999999"/>
    <m/>
    <x v="0"/>
    <n v="6.5"/>
    <n v="8.625"/>
    <s v=""/>
  </r>
  <r>
    <n v="13"/>
    <d v="2015-07-05T00:00:00"/>
    <x v="0"/>
    <s v="Kg"/>
    <n v="10"/>
    <n v="2.4900000000000002"/>
    <n v="24.900000000000002"/>
    <m/>
    <x v="1"/>
    <n v="5"/>
    <n v="149.4"/>
    <s v=""/>
  </r>
  <r>
    <n v="13"/>
    <d v="2015-07-05T00:00:00"/>
    <x v="2"/>
    <s v="Pacote"/>
    <n v="24"/>
    <n v="1.99"/>
    <n v="47.76"/>
    <m/>
    <x v="2"/>
    <n v="6.5"/>
    <n v="358.2"/>
    <n v="702.47700000000009"/>
  </r>
  <r>
    <n v="12"/>
    <d v="2015-07-04T00:00:00"/>
    <x v="3"/>
    <s v="Pacote"/>
    <n v="1"/>
    <n v="1.1499999999999999"/>
    <n v="1.1499999999999999"/>
    <n v="0.05"/>
    <x v="3"/>
    <n v="0"/>
    <n v="1.0924999999999998"/>
    <n v="1.0924999999999998"/>
  </r>
  <r>
    <n v="11"/>
    <d v="2015-07-04T00:00:00"/>
    <x v="4"/>
    <s v="Pacote"/>
    <n v="10"/>
    <n v="0.79"/>
    <n v="7.9"/>
    <m/>
    <x v="4"/>
    <n v="8"/>
    <n v="71.100000000000009"/>
    <n v="71.100000000000009"/>
  </r>
  <r>
    <n v="10"/>
    <d v="2015-07-04T00:00:00"/>
    <x v="5"/>
    <s v="Kg"/>
    <n v="6"/>
    <n v="15.9"/>
    <n v="95.4"/>
    <m/>
    <x v="1"/>
    <n v="5"/>
    <n v="572.40000000000009"/>
    <s v=""/>
  </r>
  <r>
    <n v="10"/>
    <d v="2015-07-04T00:00:00"/>
    <x v="6"/>
    <s v="Kg"/>
    <n v="4"/>
    <n v="3.99"/>
    <n v="15.96"/>
    <m/>
    <x v="3"/>
    <n v="0"/>
    <n v="15.96"/>
    <n v="588.36000000000013"/>
  </r>
  <r>
    <n v="9"/>
    <d v="2015-07-03T00:00:00"/>
    <x v="7"/>
    <s v="Lata"/>
    <n v="5"/>
    <n v="2.19"/>
    <n v="10.95"/>
    <n v="0.12"/>
    <x v="2"/>
    <n v="6.5"/>
    <n v="80.810999999999993"/>
    <s v=""/>
  </r>
  <r>
    <n v="9"/>
    <d v="2015-07-03T00:00:00"/>
    <x v="8"/>
    <s v="Barra"/>
    <n v="2"/>
    <n v="4.99"/>
    <n v="9.98"/>
    <m/>
    <x v="0"/>
    <n v="6.5"/>
    <n v="74.850000000000009"/>
    <s v=""/>
  </r>
  <r>
    <n v="9"/>
    <d v="2015-07-03T00:00:00"/>
    <x v="9"/>
    <s v="Maço"/>
    <n v="1.5"/>
    <n v="6.75"/>
    <n v="10.125"/>
    <m/>
    <x v="4"/>
    <n v="8"/>
    <n v="91.125"/>
    <s v=""/>
  </r>
  <r>
    <n v="9"/>
    <d v="2015-07-03T00:00:00"/>
    <x v="10"/>
    <s v="Unidade"/>
    <n v="4"/>
    <n v="2.6"/>
    <n v="10.4"/>
    <m/>
    <x v="1"/>
    <n v="5"/>
    <n v="62.400000000000006"/>
    <n v="309.18600000000004"/>
  </r>
  <r>
    <n v="8"/>
    <d v="2015-07-03T00:00:00"/>
    <x v="11"/>
    <s v="Kg"/>
    <n v="20"/>
    <n v="4.28"/>
    <n v="85.600000000000009"/>
    <n v="0.05"/>
    <x v="3"/>
    <n v="0"/>
    <n v="81.320000000000007"/>
    <n v="81.320000000000007"/>
  </r>
  <r>
    <n v="7"/>
    <d v="2015-07-03T00:00:00"/>
    <x v="12"/>
    <s v="Kg"/>
    <n v="20"/>
    <n v="6.98"/>
    <n v="139.60000000000002"/>
    <m/>
    <x v="2"/>
    <n v="6.5"/>
    <n v="1047.0000000000002"/>
    <n v="1047.0000000000002"/>
  </r>
  <r>
    <n v="6"/>
    <d v="2015-07-03T00:00:00"/>
    <x v="13"/>
    <s v="Litro"/>
    <n v="2"/>
    <n v="1.49"/>
    <n v="2.98"/>
    <m/>
    <x v="4"/>
    <n v="8"/>
    <n v="26.82"/>
    <s v=""/>
  </r>
  <r>
    <n v="6"/>
    <d v="2015-07-03T00:00:00"/>
    <x v="14"/>
    <s v="Unidade"/>
    <n v="6"/>
    <n v="2.89"/>
    <n v="17.34"/>
    <m/>
    <x v="0"/>
    <n v="6.5"/>
    <n v="130.05000000000001"/>
    <s v=""/>
  </r>
  <r>
    <n v="6"/>
    <d v="2015-07-03T00:00:00"/>
    <x v="15"/>
    <s v="Kg"/>
    <n v="12"/>
    <n v="23.9"/>
    <n v="286.79999999999995"/>
    <m/>
    <x v="1"/>
    <n v="5"/>
    <n v="1720.7999999999997"/>
    <n v="1877.6699999999996"/>
  </r>
  <r>
    <n v="5"/>
    <d v="2015-07-02T00:00:00"/>
    <x v="16"/>
    <s v="Kg"/>
    <n v="3"/>
    <n v="25.9"/>
    <n v="77.699999999999989"/>
    <m/>
    <x v="3"/>
    <n v="0"/>
    <n v="77.699999999999989"/>
    <n v="77.699999999999989"/>
  </r>
  <r>
    <n v="4"/>
    <d v="2015-07-02T00:00:00"/>
    <x v="17"/>
    <s v="Litro"/>
    <n v="2"/>
    <n v="2.39"/>
    <n v="4.78"/>
    <n v="0.1"/>
    <x v="2"/>
    <n v="6.5"/>
    <n v="35.372000000000007"/>
    <s v=""/>
  </r>
  <r>
    <n v="4"/>
    <d v="2015-07-02T00:00:00"/>
    <x v="18"/>
    <s v="Litro"/>
    <n v="5"/>
    <n v="3.45"/>
    <n v="17.25"/>
    <m/>
    <x v="4"/>
    <n v="8"/>
    <n v="155.25"/>
    <n v="190.62200000000001"/>
  </r>
  <r>
    <n v="3"/>
    <d v="2015-07-02T00:00:00"/>
    <x v="19"/>
    <s v="Kg"/>
    <n v="6"/>
    <n v="5.82"/>
    <n v="34.92"/>
    <m/>
    <x v="0"/>
    <n v="6.5"/>
    <n v="261.90000000000003"/>
    <n v="261.90000000000003"/>
  </r>
  <r>
    <n v="2"/>
    <d v="2015-07-02T00:00:00"/>
    <x v="20"/>
    <s v="Kg"/>
    <n v="1"/>
    <n v="9.58"/>
    <n v="9.58"/>
    <m/>
    <x v="1"/>
    <n v="5"/>
    <n v="57.480000000000004"/>
    <n v="57.480000000000004"/>
  </r>
  <r>
    <n v="1"/>
    <d v="2015-07-02T00:00:00"/>
    <x v="21"/>
    <s v="Garrafa"/>
    <n v="2"/>
    <n v="29.9"/>
    <n v="59.8"/>
    <m/>
    <x v="3"/>
    <n v="0"/>
    <n v="59.8"/>
    <s v=""/>
  </r>
  <r>
    <n v="1"/>
    <d v="2015-07-02T00:00:00"/>
    <x v="22"/>
    <s v="Garrafa"/>
    <n v="3"/>
    <n v="54.9"/>
    <n v="164.7"/>
    <n v="7.0000000000000007E-2"/>
    <x v="2"/>
    <n v="6.5"/>
    <n v="1223.7209999999998"/>
    <s v=""/>
  </r>
  <r>
    <n v="1"/>
    <d v="2015-07-02T00:00:00"/>
    <x v="23"/>
    <s v="Unidade"/>
    <n v="1"/>
    <n v="2.99"/>
    <n v="2.99"/>
    <m/>
    <x v="4"/>
    <n v="8"/>
    <n v="26.910000000000004"/>
    <n v="1310.430999999999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d v="2015-07-05T00:00:00"/>
    <x v="0"/>
    <s v="Kg"/>
    <n v="10"/>
    <n v="2.4900000000000002"/>
    <n v="24.900000000000002"/>
    <n v="0.02"/>
    <x v="0"/>
    <n v="6.5"/>
    <n v="186.25200000000004"/>
    <s v=""/>
  </r>
  <r>
    <n v="13"/>
    <d v="2015-07-05T00:00:00"/>
    <x v="1"/>
    <s v="Pacote"/>
    <n v="1"/>
    <n v="1.1499999999999999"/>
    <n v="1.1499999999999999"/>
    <m/>
    <x v="0"/>
    <n v="6.5"/>
    <n v="8.625"/>
    <s v=""/>
  </r>
  <r>
    <n v="13"/>
    <d v="2015-07-05T00:00:00"/>
    <x v="0"/>
    <s v="Kg"/>
    <n v="10"/>
    <n v="2.4900000000000002"/>
    <n v="24.900000000000002"/>
    <m/>
    <x v="1"/>
    <n v="5"/>
    <n v="149.4"/>
    <s v=""/>
  </r>
  <r>
    <n v="13"/>
    <d v="2015-07-05T00:00:00"/>
    <x v="2"/>
    <s v="Pacote"/>
    <n v="24"/>
    <n v="1.99"/>
    <n v="47.76"/>
    <m/>
    <x v="2"/>
    <n v="6.5"/>
    <n v="358.2"/>
    <n v="702.47700000000009"/>
  </r>
  <r>
    <n v="12"/>
    <d v="2015-07-04T00:00:00"/>
    <x v="3"/>
    <s v="Pacote"/>
    <n v="1"/>
    <n v="1.1499999999999999"/>
    <n v="1.1499999999999999"/>
    <n v="0.05"/>
    <x v="3"/>
    <n v="0"/>
    <n v="1.0924999999999998"/>
    <n v="1.0924999999999998"/>
  </r>
  <r>
    <n v="11"/>
    <d v="2015-07-04T00:00:00"/>
    <x v="4"/>
    <s v="Pacote"/>
    <n v="10"/>
    <n v="0.79"/>
    <n v="7.9"/>
    <m/>
    <x v="4"/>
    <n v="8"/>
    <n v="71.100000000000009"/>
    <n v="71.100000000000009"/>
  </r>
  <r>
    <n v="10"/>
    <d v="2015-07-04T00:00:00"/>
    <x v="5"/>
    <s v="Kg"/>
    <n v="6"/>
    <n v="15.9"/>
    <n v="95.4"/>
    <m/>
    <x v="1"/>
    <n v="5"/>
    <n v="572.40000000000009"/>
    <s v=""/>
  </r>
  <r>
    <n v="10"/>
    <d v="2015-07-04T00:00:00"/>
    <x v="6"/>
    <s v="Kg"/>
    <n v="4"/>
    <n v="3.99"/>
    <n v="15.96"/>
    <m/>
    <x v="3"/>
    <n v="0"/>
    <n v="15.96"/>
    <n v="588.36000000000013"/>
  </r>
  <r>
    <n v="9"/>
    <d v="2015-07-03T00:00:00"/>
    <x v="7"/>
    <s v="Lata"/>
    <n v="5"/>
    <n v="2.19"/>
    <n v="10.95"/>
    <n v="0.12"/>
    <x v="2"/>
    <n v="6.5"/>
    <n v="80.810999999999993"/>
    <s v=""/>
  </r>
  <r>
    <n v="9"/>
    <d v="2015-07-03T00:00:00"/>
    <x v="8"/>
    <s v="Barra"/>
    <n v="2"/>
    <n v="4.99"/>
    <n v="9.98"/>
    <m/>
    <x v="0"/>
    <n v="6.5"/>
    <n v="74.850000000000009"/>
    <s v=""/>
  </r>
  <r>
    <n v="9"/>
    <d v="2015-07-03T00:00:00"/>
    <x v="9"/>
    <s v="Maço"/>
    <n v="1.5"/>
    <n v="6.75"/>
    <n v="10.125"/>
    <m/>
    <x v="4"/>
    <n v="8"/>
    <n v="91.125"/>
    <s v=""/>
  </r>
  <r>
    <n v="9"/>
    <d v="2015-07-03T00:00:00"/>
    <x v="10"/>
    <s v="Unidade"/>
    <n v="4"/>
    <n v="2.6"/>
    <n v="10.4"/>
    <m/>
    <x v="1"/>
    <n v="5"/>
    <n v="62.400000000000006"/>
    <n v="309.18600000000004"/>
  </r>
  <r>
    <n v="8"/>
    <d v="2015-07-03T00:00:00"/>
    <x v="11"/>
    <s v="Kg"/>
    <n v="20"/>
    <n v="4.28"/>
    <n v="85.600000000000009"/>
    <n v="0.05"/>
    <x v="3"/>
    <n v="0"/>
    <n v="81.320000000000007"/>
    <n v="81.320000000000007"/>
  </r>
  <r>
    <n v="7"/>
    <d v="2015-07-03T00:00:00"/>
    <x v="12"/>
    <s v="Kg"/>
    <n v="20"/>
    <n v="6.98"/>
    <n v="139.60000000000002"/>
    <m/>
    <x v="2"/>
    <n v="6.5"/>
    <n v="1047.0000000000002"/>
    <n v="1047.0000000000002"/>
  </r>
  <r>
    <n v="6"/>
    <d v="2015-07-03T00:00:00"/>
    <x v="13"/>
    <s v="Litro"/>
    <n v="2"/>
    <n v="1.49"/>
    <n v="2.98"/>
    <m/>
    <x v="4"/>
    <n v="8"/>
    <n v="26.82"/>
    <s v=""/>
  </r>
  <r>
    <n v="6"/>
    <d v="2015-07-03T00:00:00"/>
    <x v="14"/>
    <s v="Unidade"/>
    <n v="6"/>
    <n v="2.89"/>
    <n v="17.34"/>
    <m/>
    <x v="0"/>
    <n v="6.5"/>
    <n v="130.05000000000001"/>
    <s v=""/>
  </r>
  <r>
    <n v="6"/>
    <d v="2015-07-03T00:00:00"/>
    <x v="15"/>
    <s v="Kg"/>
    <n v="12"/>
    <n v="23.9"/>
    <n v="286.79999999999995"/>
    <m/>
    <x v="1"/>
    <n v="5"/>
    <n v="1720.7999999999997"/>
    <n v="1877.6699999999996"/>
  </r>
  <r>
    <n v="5"/>
    <d v="2015-07-02T00:00:00"/>
    <x v="16"/>
    <s v="Kg"/>
    <n v="3"/>
    <n v="25.9"/>
    <n v="77.699999999999989"/>
    <m/>
    <x v="3"/>
    <n v="0"/>
    <n v="77.699999999999989"/>
    <n v="77.699999999999989"/>
  </r>
  <r>
    <n v="4"/>
    <d v="2015-07-02T00:00:00"/>
    <x v="17"/>
    <s v="Litro"/>
    <n v="2"/>
    <n v="2.39"/>
    <n v="4.78"/>
    <n v="0.1"/>
    <x v="2"/>
    <n v="6.5"/>
    <n v="35.372000000000007"/>
    <s v=""/>
  </r>
  <r>
    <n v="4"/>
    <d v="2015-07-02T00:00:00"/>
    <x v="18"/>
    <s v="Litro"/>
    <n v="5"/>
    <n v="3.45"/>
    <n v="17.25"/>
    <m/>
    <x v="4"/>
    <n v="8"/>
    <n v="155.25"/>
    <n v="190.62200000000001"/>
  </r>
  <r>
    <n v="3"/>
    <d v="2015-07-02T00:00:00"/>
    <x v="19"/>
    <s v="Kg"/>
    <n v="6"/>
    <n v="5.82"/>
    <n v="34.92"/>
    <m/>
    <x v="0"/>
    <n v="6.5"/>
    <n v="261.90000000000003"/>
    <n v="261.90000000000003"/>
  </r>
  <r>
    <n v="2"/>
    <d v="2015-07-02T00:00:00"/>
    <x v="20"/>
    <s v="Kg"/>
    <n v="1"/>
    <n v="9.58"/>
    <n v="9.58"/>
    <m/>
    <x v="1"/>
    <n v="5"/>
    <n v="57.480000000000004"/>
    <n v="57.480000000000004"/>
  </r>
  <r>
    <n v="1"/>
    <d v="2015-07-02T00:00:00"/>
    <x v="21"/>
    <s v="Garrafa"/>
    <n v="2"/>
    <n v="29.9"/>
    <n v="59.8"/>
    <m/>
    <x v="3"/>
    <n v="0"/>
    <n v="59.8"/>
    <s v=""/>
  </r>
  <r>
    <n v="1"/>
    <d v="2015-07-02T00:00:00"/>
    <x v="22"/>
    <s v="Garrafa"/>
    <n v="3"/>
    <n v="54.9"/>
    <n v="164.7"/>
    <n v="7.0000000000000007E-2"/>
    <x v="2"/>
    <n v="6.5"/>
    <n v="1223.7209999999998"/>
    <s v=""/>
  </r>
  <r>
    <n v="1"/>
    <d v="2015-07-02T00:00:00"/>
    <x v="23"/>
    <s v="Unidade"/>
    <n v="1"/>
    <n v="2.99"/>
    <n v="2.99"/>
    <m/>
    <x v="4"/>
    <n v="8"/>
    <n v="26.910000000000004"/>
    <n v="1310.430999999999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d v="2015-07-05T00:00:00"/>
    <x v="0"/>
    <s v="Kg"/>
    <n v="10"/>
    <n v="2.4900000000000002"/>
    <n v="24.900000000000002"/>
    <n v="0.02"/>
    <x v="0"/>
    <n v="6.5"/>
    <n v="186.25200000000004"/>
    <s v=""/>
  </r>
  <r>
    <n v="13"/>
    <d v="2015-07-05T00:00:00"/>
    <x v="1"/>
    <s v="Pacote"/>
    <n v="1"/>
    <n v="1.1499999999999999"/>
    <n v="1.1499999999999999"/>
    <m/>
    <x v="0"/>
    <n v="6.5"/>
    <n v="8.625"/>
    <s v=""/>
  </r>
  <r>
    <n v="13"/>
    <d v="2015-07-05T00:00:00"/>
    <x v="0"/>
    <s v="Kg"/>
    <n v="10"/>
    <n v="2.4900000000000002"/>
    <n v="24.900000000000002"/>
    <m/>
    <x v="1"/>
    <n v="5"/>
    <n v="149.4"/>
    <s v=""/>
  </r>
  <r>
    <n v="13"/>
    <d v="2015-07-05T00:00:00"/>
    <x v="2"/>
    <s v="Pacote"/>
    <n v="24"/>
    <n v="1.99"/>
    <n v="47.76"/>
    <m/>
    <x v="2"/>
    <n v="6.5"/>
    <n v="358.2"/>
    <n v="702.47700000000009"/>
  </r>
  <r>
    <n v="12"/>
    <d v="2015-07-04T00:00:00"/>
    <x v="3"/>
    <s v="Pacote"/>
    <n v="1"/>
    <n v="1.1499999999999999"/>
    <n v="1.1499999999999999"/>
    <n v="0.05"/>
    <x v="3"/>
    <n v="0"/>
    <n v="1.0924999999999998"/>
    <n v="1.0924999999999998"/>
  </r>
  <r>
    <n v="11"/>
    <d v="2015-07-04T00:00:00"/>
    <x v="4"/>
    <s v="Pacote"/>
    <n v="10"/>
    <n v="0.79"/>
    <n v="7.9"/>
    <m/>
    <x v="4"/>
    <n v="8"/>
    <n v="71.100000000000009"/>
    <n v="71.100000000000009"/>
  </r>
  <r>
    <n v="10"/>
    <d v="2015-07-04T00:00:00"/>
    <x v="5"/>
    <s v="Kg"/>
    <n v="6"/>
    <n v="15.9"/>
    <n v="95.4"/>
    <m/>
    <x v="1"/>
    <n v="5"/>
    <n v="572.40000000000009"/>
    <s v=""/>
  </r>
  <r>
    <n v="10"/>
    <d v="2015-07-04T00:00:00"/>
    <x v="6"/>
    <s v="Kg"/>
    <n v="4"/>
    <n v="3.99"/>
    <n v="15.96"/>
    <m/>
    <x v="3"/>
    <n v="0"/>
    <n v="15.96"/>
    <n v="588.36000000000013"/>
  </r>
  <r>
    <n v="9"/>
    <d v="2015-07-03T00:00:00"/>
    <x v="7"/>
    <s v="Lata"/>
    <n v="5"/>
    <n v="2.19"/>
    <n v="10.95"/>
    <n v="0.12"/>
    <x v="2"/>
    <n v="6.5"/>
    <n v="80.810999999999993"/>
    <s v=""/>
  </r>
  <r>
    <n v="9"/>
    <d v="2015-07-03T00:00:00"/>
    <x v="8"/>
    <s v="Barra"/>
    <n v="2"/>
    <n v="4.99"/>
    <n v="9.98"/>
    <m/>
    <x v="0"/>
    <n v="6.5"/>
    <n v="74.850000000000009"/>
    <s v=""/>
  </r>
  <r>
    <n v="9"/>
    <d v="2015-07-03T00:00:00"/>
    <x v="9"/>
    <s v="Maço"/>
    <n v="1.5"/>
    <n v="6.75"/>
    <n v="10.125"/>
    <m/>
    <x v="4"/>
    <n v="8"/>
    <n v="91.125"/>
    <s v=""/>
  </r>
  <r>
    <n v="9"/>
    <d v="2015-07-03T00:00:00"/>
    <x v="10"/>
    <s v="Unidade"/>
    <n v="4"/>
    <n v="2.6"/>
    <n v="10.4"/>
    <m/>
    <x v="1"/>
    <n v="5"/>
    <n v="62.400000000000006"/>
    <n v="309.18600000000004"/>
  </r>
  <r>
    <n v="8"/>
    <d v="2015-07-03T00:00:00"/>
    <x v="11"/>
    <s v="Kg"/>
    <n v="20"/>
    <n v="4.28"/>
    <n v="85.600000000000009"/>
    <n v="0.05"/>
    <x v="3"/>
    <n v="0"/>
    <n v="81.320000000000007"/>
    <n v="81.320000000000007"/>
  </r>
  <r>
    <n v="7"/>
    <d v="2015-07-03T00:00:00"/>
    <x v="12"/>
    <s v="Kg"/>
    <n v="20"/>
    <n v="6.98"/>
    <n v="139.60000000000002"/>
    <m/>
    <x v="2"/>
    <n v="6.5"/>
    <n v="1047.0000000000002"/>
    <n v="1047.0000000000002"/>
  </r>
  <r>
    <n v="6"/>
    <d v="2015-07-03T00:00:00"/>
    <x v="13"/>
    <s v="Litro"/>
    <n v="2"/>
    <n v="1.49"/>
    <n v="2.98"/>
    <m/>
    <x v="4"/>
    <n v="8"/>
    <n v="26.82"/>
    <s v=""/>
  </r>
  <r>
    <n v="6"/>
    <d v="2015-07-03T00:00:00"/>
    <x v="14"/>
    <s v="Unidade"/>
    <n v="6"/>
    <n v="2.89"/>
    <n v="17.34"/>
    <m/>
    <x v="0"/>
    <n v="6.5"/>
    <n v="130.05000000000001"/>
    <s v=""/>
  </r>
  <r>
    <n v="6"/>
    <d v="2015-07-03T00:00:00"/>
    <x v="15"/>
    <s v="Kg"/>
    <n v="12"/>
    <n v="23.9"/>
    <n v="286.79999999999995"/>
    <m/>
    <x v="1"/>
    <n v="5"/>
    <n v="1720.7999999999997"/>
    <n v="1877.6699999999996"/>
  </r>
  <r>
    <n v="5"/>
    <d v="2015-07-02T00:00:00"/>
    <x v="16"/>
    <s v="Kg"/>
    <n v="3"/>
    <n v="25.9"/>
    <n v="77.699999999999989"/>
    <m/>
    <x v="3"/>
    <n v="0"/>
    <n v="77.699999999999989"/>
    <n v="77.699999999999989"/>
  </r>
  <r>
    <n v="4"/>
    <d v="2015-07-02T00:00:00"/>
    <x v="17"/>
    <s v="Litro"/>
    <n v="2"/>
    <n v="2.39"/>
    <n v="4.78"/>
    <n v="0.1"/>
    <x v="2"/>
    <n v="6.5"/>
    <n v="35.372000000000007"/>
    <s v=""/>
  </r>
  <r>
    <n v="4"/>
    <d v="2015-07-02T00:00:00"/>
    <x v="18"/>
    <s v="Litro"/>
    <n v="5"/>
    <n v="3.45"/>
    <n v="17.25"/>
    <m/>
    <x v="4"/>
    <n v="8"/>
    <n v="155.25"/>
    <n v="190.62200000000001"/>
  </r>
  <r>
    <n v="3"/>
    <d v="2015-07-02T00:00:00"/>
    <x v="19"/>
    <s v="Kg"/>
    <n v="6"/>
    <n v="5.82"/>
    <n v="34.92"/>
    <m/>
    <x v="0"/>
    <n v="6.5"/>
    <n v="261.90000000000003"/>
    <n v="261.90000000000003"/>
  </r>
  <r>
    <n v="2"/>
    <d v="2015-07-02T00:00:00"/>
    <x v="20"/>
    <s v="Kg"/>
    <n v="1"/>
    <n v="9.58"/>
    <n v="9.58"/>
    <m/>
    <x v="1"/>
    <n v="5"/>
    <n v="57.480000000000004"/>
    <n v="57.480000000000004"/>
  </r>
  <r>
    <n v="1"/>
    <d v="2015-07-02T00:00:00"/>
    <x v="21"/>
    <s v="Garrafa"/>
    <n v="2"/>
    <n v="29.9"/>
    <n v="59.8"/>
    <m/>
    <x v="3"/>
    <n v="0"/>
    <n v="59.8"/>
    <s v=""/>
  </r>
  <r>
    <n v="1"/>
    <d v="2015-07-02T00:00:00"/>
    <x v="22"/>
    <s v="Garrafa"/>
    <n v="3"/>
    <n v="54.9"/>
    <n v="164.7"/>
    <n v="7.0000000000000007E-2"/>
    <x v="2"/>
    <n v="6.5"/>
    <n v="1223.7209999999998"/>
    <s v=""/>
  </r>
  <r>
    <n v="1"/>
    <d v="2015-07-02T00:00:00"/>
    <x v="23"/>
    <s v="Unidade"/>
    <n v="1"/>
    <n v="2.99"/>
    <n v="2.99"/>
    <m/>
    <x v="4"/>
    <n v="8"/>
    <n v="26.910000000000004"/>
    <n v="1310.43099999999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5149B9-56DE-4928-ADF9-946DD637B9A5}" name="Tabela dinâmica10" cacheId="2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E4:H10" firstHeaderRow="0" firstDataRow="1" firstDataCol="1"/>
  <pivotFields count="12">
    <pivotField showAll="0"/>
    <pivotField numFmtId="14" showAll="0"/>
    <pivotField axis="axisRow" showAll="0">
      <items count="25">
        <item x="23"/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6">
        <item sd="0" x="1"/>
        <item sd="0" x="3"/>
        <item sd="0" x="2"/>
        <item sd="0" x="4"/>
        <item sd="0" x="0"/>
        <item t="default"/>
      </items>
    </pivotField>
    <pivotField dataField="1" showAll="0"/>
    <pivotField dataField="1" numFmtId="164" showAll="0"/>
    <pivotField showAll="0"/>
  </pivotFields>
  <rowFields count="2">
    <field x="8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055A3-1E32-45CB-93B1-25711C24C068}" name="Tabela dinâmica9" cacheId="2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32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axis="axisRow" showAll="0">
      <items count="25">
        <item x="23"/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showAll="0"/>
    <pivotField dataField="1" numFmtId="164" showAll="0"/>
    <pivotField showAll="0"/>
  </pivotFields>
  <rowFields count="2">
    <field x="1"/>
    <field x="2"/>
  </rowFields>
  <rowItems count="29">
    <i>
      <x/>
    </i>
    <i r="1">
      <x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1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2"/>
    </i>
    <i r="1">
      <x v="4"/>
    </i>
    <i r="1">
      <x v="5"/>
    </i>
    <i r="1">
      <x v="6"/>
    </i>
    <i r="1">
      <x v="7"/>
    </i>
    <i>
      <x v="3"/>
    </i>
    <i r="1">
      <x v="1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75E614-D639-45D5-ABD5-E4B818167491}" name="Tabela dinâmica9" cacheId="2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32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axis="axisRow" showAll="0">
      <items count="25">
        <item x="23"/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showAll="0"/>
    <pivotField dataField="1" numFmtId="164" showAll="0"/>
    <pivotField showAll="0"/>
  </pivotFields>
  <rowFields count="2">
    <field x="1"/>
    <field x="2"/>
  </rowFields>
  <rowItems count="29">
    <i>
      <x/>
    </i>
    <i r="1">
      <x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1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2"/>
    </i>
    <i r="1">
      <x v="4"/>
    </i>
    <i r="1">
      <x v="5"/>
    </i>
    <i r="1">
      <x v="6"/>
    </i>
    <i r="1">
      <x v="7"/>
    </i>
    <i>
      <x v="3"/>
    </i>
    <i r="1">
      <x v="1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4BF73C-4B3B-41F9-8E6F-AD75C54EBFC9}" name="Tabela dinâmica10" cacheId="2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E4:H10" firstHeaderRow="0" firstDataRow="1" firstDataCol="1"/>
  <pivotFields count="12">
    <pivotField showAll="0"/>
    <pivotField numFmtId="14" showAll="0"/>
    <pivotField axis="axisRow" showAll="0">
      <items count="25">
        <item x="23"/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6">
        <item sd="0" x="1"/>
        <item sd="0" x="3"/>
        <item sd="0" x="2"/>
        <item sd="0" x="4"/>
        <item sd="0" x="0"/>
        <item t="default"/>
      </items>
    </pivotField>
    <pivotField dataField="1" showAll="0"/>
    <pivotField dataField="1" numFmtId="164" showAll="0"/>
    <pivotField showAll="0"/>
  </pivotFields>
  <rowFields count="2">
    <field x="8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860111-648F-4872-92A4-777333732242}" name="Tabela dinâmica10" cacheId="2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E4:H10" firstHeaderRow="0" firstDataRow="1" firstDataCol="1"/>
  <pivotFields count="12">
    <pivotField showAll="0"/>
    <pivotField numFmtId="14" showAll="0"/>
    <pivotField axis="axisRow" showAll="0">
      <items count="25">
        <item x="23"/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6">
        <item sd="0" x="1"/>
        <item sd="0" x="3"/>
        <item sd="0" x="2"/>
        <item sd="0" x="4"/>
        <item sd="0" x="0"/>
        <item t="default"/>
      </items>
    </pivotField>
    <pivotField dataField="1" showAll="0"/>
    <pivotField dataField="1" numFmtId="164" showAll="0"/>
    <pivotField showAll="0"/>
  </pivotFields>
  <rowFields count="2">
    <field x="8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AFD2-CD29-4493-8CB7-53A1F66F67E6}" name="Tabela dinâmica9" cacheId="2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32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axis="axisRow" showAll="0">
      <items count="25">
        <item x="23"/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showAll="0"/>
    <pivotField dataField="1" numFmtId="164" showAll="0"/>
    <pivotField showAll="0"/>
  </pivotFields>
  <rowFields count="2">
    <field x="1"/>
    <field x="2"/>
  </rowFields>
  <rowItems count="29">
    <i>
      <x/>
    </i>
    <i r="1">
      <x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1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2"/>
    </i>
    <i r="1">
      <x v="4"/>
    </i>
    <i r="1">
      <x v="5"/>
    </i>
    <i r="1">
      <x v="6"/>
    </i>
    <i r="1">
      <x v="7"/>
    </i>
    <i>
      <x v="3"/>
    </i>
    <i r="1">
      <x v="1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7774D2-CF78-4776-A1AA-08D76691A61F}" name="Tabela dinâmica9" cacheId="2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32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axis="axisRow" showAll="0">
      <items count="25">
        <item x="23"/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showAll="0"/>
    <pivotField dataField="1" numFmtId="164" showAll="0"/>
    <pivotField showAll="0"/>
  </pivotFields>
  <rowFields count="2">
    <field x="1"/>
    <field x="2"/>
  </rowFields>
  <rowItems count="29">
    <i>
      <x/>
    </i>
    <i r="1">
      <x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1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2"/>
    </i>
    <i r="1">
      <x v="4"/>
    </i>
    <i r="1">
      <x v="5"/>
    </i>
    <i r="1">
      <x v="6"/>
    </i>
    <i r="1">
      <x v="7"/>
    </i>
    <i>
      <x v="3"/>
    </i>
    <i r="1">
      <x v="1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24F81-C2FB-4595-BB1D-40C9C4C8C8A8}" name="Tabela dinâmica10" cacheId="3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E4:H10" firstHeaderRow="0" firstDataRow="1" firstDataCol="1"/>
  <pivotFields count="12">
    <pivotField showAll="0"/>
    <pivotField numFmtId="14" showAll="0"/>
    <pivotField axis="axisRow" showAll="0">
      <items count="25">
        <item x="23"/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6">
        <item sd="0" x="1"/>
        <item sd="0" x="3"/>
        <item sd="0" x="2"/>
        <item sd="0" x="4"/>
        <item sd="0" x="0"/>
        <item t="default"/>
      </items>
    </pivotField>
    <pivotField dataField="1" showAll="0"/>
    <pivotField dataField="1" numFmtId="164" showAll="0"/>
    <pivotField showAll="0"/>
  </pivotFields>
  <rowFields count="2">
    <field x="8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34DFD-61B8-43A7-916A-E7B40EBB02BF}" name="Tabela dinâmica10" cacheId="3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E4:H10" firstHeaderRow="0" firstDataRow="1" firstDataCol="1"/>
  <pivotFields count="12">
    <pivotField showAll="0"/>
    <pivotField numFmtId="14" showAll="0"/>
    <pivotField axis="axisRow" showAll="0">
      <items count="25">
        <item x="23"/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6">
        <item sd="0" x="1"/>
        <item sd="0" x="3"/>
        <item sd="0" x="2"/>
        <item sd="0" x="4"/>
        <item sd="0" x="0"/>
        <item t="default"/>
      </items>
    </pivotField>
    <pivotField dataField="1" showAll="0"/>
    <pivotField dataField="1" numFmtId="164" showAll="0"/>
    <pivotField showAll="0"/>
  </pivotFields>
  <rowFields count="2">
    <field x="8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6C32C0-0040-431A-AA30-7DED833AD429}" name="Tabela dinâmica9" cacheId="2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32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axis="axisRow" showAll="0">
      <items count="25">
        <item x="23"/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showAll="0"/>
    <pivotField dataField="1" numFmtId="164" showAll="0"/>
    <pivotField showAll="0"/>
  </pivotFields>
  <rowFields count="2">
    <field x="1"/>
    <field x="2"/>
  </rowFields>
  <rowItems count="29">
    <i>
      <x/>
    </i>
    <i r="1">
      <x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1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2"/>
    </i>
    <i r="1">
      <x v="4"/>
    </i>
    <i r="1">
      <x v="5"/>
    </i>
    <i r="1">
      <x v="6"/>
    </i>
    <i r="1">
      <x v="7"/>
    </i>
    <i>
      <x v="3"/>
    </i>
    <i r="1">
      <x v="1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CE8123-2033-4006-92DC-E801747D04E5}" name="Tabela1" displayName="Tabela1" ref="B4:F29" totalsRowShown="0">
  <autoFilter ref="B4:F29" xr:uid="{B42B5C61-6598-4C7E-8DFC-7ED699AB979E}"/>
  <tableColumns count="5">
    <tableColumn id="1" xr3:uid="{1F6FAA37-991A-414B-83A3-F6B4A5938173}" name="Despesas de Funcionario"/>
    <tableColumn id="2" xr3:uid="{5AF47A54-2E11-4E3A-9F2E-688FC8C8262A}" name="Itens Despesas"/>
    <tableColumn id="4" xr3:uid="{89DC5C64-4BB2-431F-8638-62DE677927C7}" name="Observação"/>
    <tableColumn id="5" xr3:uid="{0C1CDDFF-6FAE-47D7-883C-01FC738241A3}" name="Valor Intermediario" dataDxfId="34"/>
    <tableColumn id="6" xr3:uid="{4186BC52-C6B8-4B9E-81B3-93507A4FC582}" name="Valor Final" dataDxfId="33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8F62BEF-8190-4105-8967-72D889D1C554}" name="Tabela4" displayName="Tabela4" ref="B4:I25" totalsRowShown="0">
  <autoFilter ref="B4:I25" xr:uid="{68529A4F-9A2A-4D2A-A59D-D75E754E899F}"/>
  <sortState ref="B5:I23">
    <sortCondition ref="D4:D23"/>
  </sortState>
  <tableColumns count="8">
    <tableColumn id="1" xr3:uid="{3CBDBF04-F6D9-44AD-AD42-DD7A35EDD638}" name="Data " dataDxfId="32"/>
    <tableColumn id="2" xr3:uid="{F33049A3-E78F-4FA3-A2B4-A6E571A1DB5E}" name="Fornecedor"/>
    <tableColumn id="3" xr3:uid="{C5CA8028-D01A-4B88-B0F3-CC54FAC00551}" name="Mercadoria"/>
    <tableColumn id="9" xr3:uid="{0D3060A9-9ED9-460E-B233-16455D515F76}" name="Medida" dataDxfId="31">
      <calculatedColumnFormula>IFERROR(VLOOKUP(Tabela4[[#This Row],[Mercadoria]],Calculos!$F$4:$I$29,4,FALSE),"")</calculatedColumnFormula>
    </tableColumn>
    <tableColumn id="5" xr3:uid="{3E8F6086-A6BF-4435-A77F-74D79012F607}" name="Quantidade"/>
    <tableColumn id="6" xr3:uid="{C83A30AA-EF1D-47B5-BD88-69B73636712D}" name="Preço Unitario" dataDxfId="30">
      <calculatedColumnFormula>IFERROR(VLOOKUP(Tabela4[[#This Row],[Mercadoria]],Calculos!$F$4:$I$29,2,FALSE),"")</calculatedColumnFormula>
    </tableColumn>
    <tableColumn id="7" xr3:uid="{42A86FFE-FE79-480F-8A67-60D63C0C5F2D}" name="Desconto" dataCellStyle="Porcentagem"/>
    <tableColumn id="8" xr3:uid="{762DCCA1-6533-4EFC-8BB8-DD30581A5BE6}" name="Valor Pago" dataDxfId="29">
      <calculatedColumnFormula>Tabela4[[#This Row],[Quantidade]]*Tabela4[[#This Row],[Preço Unitario]]*(1-Tabela4[[#This Row],[Desconto]])</calculatedColumnFormula>
    </tableColumn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EFCB2C-46D8-45CE-9E94-1DB487729461}" name="Tabela5" displayName="Tabela5" ref="B7:E12" totalsRowShown="0">
  <autoFilter ref="B7:E12" xr:uid="{90E3BBDF-788E-4834-A18A-29A54055222B}"/>
  <tableColumns count="4">
    <tableColumn id="1" xr3:uid="{CA9B1A11-5380-488D-8826-1B16B2170946}" name="Investimentos"/>
    <tableColumn id="2" xr3:uid="{8F05043F-1C46-4185-B8A3-E64832D0B322}" name="Data"/>
    <tableColumn id="3" xr3:uid="{99276E6E-285E-4AF0-B149-B74ED936ABC3}" name="Descrisão" dataDxfId="28"/>
    <tableColumn id="4" xr3:uid="{32316788-AB37-4A2F-8A97-374D685F5A9E}" name="Valor" dataDxfId="27"/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6F93B8D-05A1-41AA-821F-9DB7EB8C0DC4}" name="Tabela6" displayName="Tabela6" ref="B6:H30" totalsRowShown="0">
  <autoFilter ref="B6:H30" xr:uid="{4389CEE8-63CE-4B1D-B8F9-00E0753A2089}"/>
  <tableColumns count="7">
    <tableColumn id="1" xr3:uid="{F08C5310-1F06-435D-94C8-8005B598BEC4}" name="Produto"/>
    <tableColumn id="2" xr3:uid="{84E5F300-3B41-4D80-8346-825F4E5D4DAF}" name="Data da última compra" dataDxfId="26">
      <calculatedColumnFormula>IFERROR(INDEX(Tabela4[[Data ]],MATCH(B7,Tabela4[Mercadoria],0),1),"")</calculatedColumnFormula>
    </tableColumn>
    <tableColumn id="3" xr3:uid="{E643E56C-9AA1-4F77-B8AF-0603BABA5470}" name="Quantidade Inicial"/>
    <tableColumn id="4" xr3:uid="{75AB6145-EE00-459B-933C-936532EFF36B}" name="Quantidade Comprada" dataDxfId="25">
      <calculatedColumnFormula>SUMIF(Tabela4[Mercadoria],Tabela6[[#This Row],[Produto]],Tabela4[Quantidade])</calculatedColumnFormula>
    </tableColumn>
    <tableColumn id="5" xr3:uid="{7F1C7507-92CB-4638-AC58-8427D92B5C91}" name="Quantidade Vendida" dataDxfId="0">
      <calculatedColumnFormula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calculatedColumnFormula>
    </tableColumn>
    <tableColumn id="6" xr3:uid="{D85A5F72-AA75-42D6-AAF8-A6B1FCA1646C}" name="Quantidade Atual" dataDxfId="24">
      <calculatedColumnFormula>Tabela6[[#This Row],[Quantidade Inicial]]+Tabela6[[#This Row],[Quantidade Comprada]]-Tabela6[[#This Row],[Quantidade Vendida]]</calculatedColumnFormula>
    </tableColumn>
    <tableColumn id="7" xr3:uid="{DB94F822-ECE4-4012-9FC3-2B134A433EA2}" name="Situação" dataDxfId="23">
      <calculatedColumnFormula>IF(Tabela6[[#This Row],[Quantidade Atual]]&lt;50,IF(Tabela6[[#This Row],[Quantidade Atual]]&lt;21,"Comprar","Atenção"),"OK")</calculatedColumnFormula>
    </tableColumn>
  </tableColumns>
  <tableStyleInfo name="TableStyleDark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DFB16D5-A852-4798-8F90-BD1FE32520CD}" name="Tabela79" displayName="Tabela79" ref="C5:N30" totalsRowShown="0">
  <autoFilter ref="C5:N30" xr:uid="{5E7900D0-E3CB-435E-AADB-E7AD33785792}"/>
  <tableColumns count="12">
    <tableColumn id="1" xr3:uid="{09098FE4-B6BA-448E-9014-68E5F09B38AE}" name="Id da Venda"/>
    <tableColumn id="2" xr3:uid="{4D656F8A-1977-4799-ADB2-F4E346490003}" name="Data da Venda"/>
    <tableColumn id="3" xr3:uid="{EBA091C3-5261-4AB0-87D9-5A26BFBE1893}" name="Produtos"/>
    <tableColumn id="4" xr3:uid="{5E512603-1452-4518-B91D-526187DB3D53}" name="Unidade" dataDxfId="22">
      <calculatedColumnFormula>IFERROR(VLOOKUP(Tabela79[[#This Row],[Produtos]],Calculos!$F$4:$I$33,4,FALSE),"")</calculatedColumnFormula>
    </tableColumn>
    <tableColumn id="5" xr3:uid="{970756F0-F2B8-424A-991D-3181C02B4F68}" name="Quantidade"/>
    <tableColumn id="6" xr3:uid="{64598071-454E-413F-BDDC-FAECC7AD6709}" name="Preço Unitário" dataCellStyle="Moeda">
      <calculatedColumnFormula>IFERROR(VLOOKUP(Tabela79[[#This Row],[Produtos]],Calculos!$F$4:$I$33,3,FALSE),0)</calculatedColumnFormula>
    </tableColumn>
    <tableColumn id="7" xr3:uid="{ECB33C97-E0B9-4268-AEAC-DCA2B4B580D6}" name="SubTotal" dataCellStyle="Moeda">
      <calculatedColumnFormula>Tabela79[[#This Row],[Preço Unitário]]*Tabela79[[#This Row],[Quantidade]]</calculatedColumnFormula>
    </tableColumn>
    <tableColumn id="8" xr3:uid="{40183806-9B03-4DCA-A8E9-170B1341E8B0}" name="Desconto" dataCellStyle="Porcentagem"/>
    <tableColumn id="9" xr3:uid="{ED1DDD92-D247-46FD-A0F3-8812654B89E2}" name="Entrega"/>
    <tableColumn id="10" xr3:uid="{83C93833-80BD-42D1-90C2-74BC239FF307}" name="Valor da Entrega" dataDxfId="3">
      <calculatedColumnFormula>IFERROR(VLOOKUP(Tabela79[[#This Row],[Entrega]],Calculos!$A$5:$B$9,2,FALSE),0)</calculatedColumnFormula>
    </tableColumn>
    <tableColumn id="11" xr3:uid="{431246D1-CFA2-40E3-A14F-4746BC6C8BA6}" name="Total" dataDxfId="21">
      <calculatedColumnFormula>Tabela79[[#This Row],[SubTotal]]*(1-Tabela79[[#This Row],[Desconto]]+Tabela79[[#This Row],[Valor da Entrega]])</calculatedColumnFormula>
    </tableColumn>
    <tableColumn id="12" xr3:uid="{B66A71F1-5D36-494D-8A1B-7F6B7588CA08}" name="Total Cliente" dataDxfId="20">
      <calculatedColumnFormula>IF(Tabela79[[#This Row],[Id da Venda]]=C7,"",SUMIF(Tabela79[Id da Venda],Tabela79[[#This Row],[Id da Venda]],Tabela79[Total]))</calculatedColumnFormula>
    </tableColumn>
  </tableColumns>
  <tableStyleInfo name="TableStyleDark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E5AE3C-08B4-4C20-BF8F-31906AEB0184}" name="Tabela711" displayName="Tabela711" ref="C5:N30" totalsRowShown="0">
  <autoFilter ref="C5:N30" xr:uid="{09A55E12-7CAD-4862-9CF1-3C0FA596FF83}"/>
  <tableColumns count="12">
    <tableColumn id="1" xr3:uid="{F13A976E-23FD-4E0A-8043-B6D43340437D}" name="Id da Venda"/>
    <tableColumn id="2" xr3:uid="{F3C2BC93-85CB-4904-9096-75E01C2D16B8}" name="Data da Venda"/>
    <tableColumn id="3" xr3:uid="{FB0301F5-C0E5-4CB5-A74D-B2B76CC847C5}" name="Produtos"/>
    <tableColumn id="4" xr3:uid="{6AB363EA-6BF2-417D-A7FE-AC1D8C5D33CF}" name="Unidade" dataDxfId="19">
      <calculatedColumnFormula>IFERROR(VLOOKUP(Tabela711[[#This Row],[Produtos]],Calculos!$F$4:$I$33,4,FALSE),"")</calculatedColumnFormula>
    </tableColumn>
    <tableColumn id="5" xr3:uid="{FAE49D90-35DE-40BD-B1CF-D5C47521382C}" name="Quantidade"/>
    <tableColumn id="6" xr3:uid="{FC90CFB1-E2A0-4F55-9AA6-404B55066FD1}" name="Preço Unitário" dataCellStyle="Moeda">
      <calculatedColumnFormula>IFERROR(VLOOKUP(Tabela711[[#This Row],[Produtos]],Calculos!$F$4:$I$33,3,FALSE),0)</calculatedColumnFormula>
    </tableColumn>
    <tableColumn id="7" xr3:uid="{68653A7C-50D2-4A17-A97D-1CECE9DF14F6}" name="SubTotal" dataCellStyle="Moeda">
      <calculatedColumnFormula>Tabela711[[#This Row],[Preço Unitário]]*Tabela711[[#This Row],[Quantidade]]</calculatedColumnFormula>
    </tableColumn>
    <tableColumn id="8" xr3:uid="{6DA65BFF-199B-41C6-B6FB-17E398E9BBB8}" name="Desconto" dataCellStyle="Porcentagem"/>
    <tableColumn id="9" xr3:uid="{CE7B93EC-7E39-46A5-B9C6-6BB8AD09ABF9}" name="Entrega"/>
    <tableColumn id="10" xr3:uid="{D00DB448-2BAA-4C1F-80C9-75358D60628F}" name="Valor da Entrega" dataDxfId="18">
      <calculatedColumnFormula>VLOOKUP(Tabela711[[#This Row],[Entrega]],Calculos!$A$5:$B$9,2,FALSE)</calculatedColumnFormula>
    </tableColumn>
    <tableColumn id="11" xr3:uid="{026BFE64-19CD-4FD8-940B-22FA88AB4B46}" name="Total" dataDxfId="17">
      <calculatedColumnFormula>Tabela711[[#This Row],[SubTotal]]*(1-Tabela711[[#This Row],[Desconto]]+Tabela711[[#This Row],[Valor da Entrega]])</calculatedColumnFormula>
    </tableColumn>
    <tableColumn id="12" xr3:uid="{F0ECF0B8-638F-40A3-9F3D-AE6E85193CC2}" name="Total Cliente" dataDxfId="16">
      <calculatedColumnFormula>IF(Tabela711[[#This Row],[Id da Venda]]=C7,"",SUMIF(Tabela711[Id da Venda],Tabela711[[#This Row],[Id da Venda]],Tabela711[Total]))</calculatedColumnFormula>
    </tableColumn>
  </tableColumns>
  <tableStyleInfo name="TableStyleDark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E33E322-3227-4CB6-B12E-5BD0AD46E9E7}" name="Tabela710" displayName="Tabela710" ref="C5:N30" totalsRowShown="0">
  <autoFilter ref="C5:N30" xr:uid="{FE615F79-2523-445E-97A4-B454FE619768}"/>
  <tableColumns count="12">
    <tableColumn id="1" xr3:uid="{A51FE5F5-93BC-49E3-82EF-F0D3D5EFEFC6}" name="Id da Venda"/>
    <tableColumn id="2" xr3:uid="{7E589143-F246-46F1-B11E-448C6216524F}" name="Data da Venda"/>
    <tableColumn id="3" xr3:uid="{A69DCE43-0464-4733-BDDE-60DC005F0143}" name="Produtos"/>
    <tableColumn id="4" xr3:uid="{9C99D3FD-C84D-4836-BA20-9579EE6A57DE}" name="Unidade" dataDxfId="15">
      <calculatedColumnFormula>IFERROR(VLOOKUP(Tabela710[[#This Row],[Produtos]],Calculos!$F$4:$I$33,4,FALSE),"")</calculatedColumnFormula>
    </tableColumn>
    <tableColumn id="5" xr3:uid="{CBC522AF-109C-444A-A529-7A37CD82DE2E}" name="Quantidade"/>
    <tableColumn id="6" xr3:uid="{B2658507-873E-4475-8A95-FD5703DFE24C}" name="Preço Unitário" dataCellStyle="Moeda">
      <calculatedColumnFormula>IFERROR(VLOOKUP(Tabela710[[#This Row],[Produtos]],Calculos!$F$4:$I$33,3,FALSE),0)</calculatedColumnFormula>
    </tableColumn>
    <tableColumn id="7" xr3:uid="{6CC7B56F-76C5-4CD2-92CA-604A41DD7931}" name="SubTotal" dataCellStyle="Moeda">
      <calculatedColumnFormula>Tabela710[[#This Row],[Preço Unitário]]*Tabela710[[#This Row],[Quantidade]]</calculatedColumnFormula>
    </tableColumn>
    <tableColumn id="8" xr3:uid="{B6520BD3-D7E7-41F7-A87C-DEC195DE1BD1}" name="Desconto" dataCellStyle="Porcentagem"/>
    <tableColumn id="9" xr3:uid="{78411964-8A90-4F03-AF07-7A76F449536E}" name="Entrega"/>
    <tableColumn id="10" xr3:uid="{DC5B7A91-B41C-4BD0-86E3-DCA31E0B7BAB}" name="Valor da Entrega" dataDxfId="14">
      <calculatedColumnFormula>VLOOKUP(Tabela710[[#This Row],[Entrega]],Calculos!$A$5:$B$9,2,FALSE)</calculatedColumnFormula>
    </tableColumn>
    <tableColumn id="11" xr3:uid="{6F70D539-370E-49AD-8F31-A5EE9E6FBEC5}" name="Total" dataDxfId="13">
      <calculatedColumnFormula>Tabela710[[#This Row],[SubTotal]]*(1-Tabela710[[#This Row],[Desconto]]+Tabela710[[#This Row],[Valor da Entrega]])</calculatedColumnFormula>
    </tableColumn>
    <tableColumn id="12" xr3:uid="{7D9EF5E8-A64B-4EA5-A0E3-6EB47BD97174}" name="Total Cliente" dataDxfId="12">
      <calculatedColumnFormula>IF(Tabela710[[#This Row],[Id da Venda]]=C7,"",SUMIF(Tabela710[Id da Venda],Tabela710[[#This Row],[Id da Venda]],Tabela710[Total]))</calculatedColumnFormula>
    </tableColumn>
  </tableColumns>
  <tableStyleInfo name="TableStyleDark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8D9C2E4-5E5E-4318-A544-763ED5C51A94}" name="Tabela712" displayName="Tabela712" ref="C5:N30" totalsRowShown="0">
  <autoFilter ref="C5:N30" xr:uid="{12561C20-DFB1-4651-9118-259B3D0CAAF9}"/>
  <tableColumns count="12">
    <tableColumn id="1" xr3:uid="{931DFCE9-6395-47DA-B1F4-C26044A777A8}" name="Id da Venda"/>
    <tableColumn id="2" xr3:uid="{0547C3EC-265A-40B4-8A0E-4A8B64ACB44B}" name="Data da Venda"/>
    <tableColumn id="3" xr3:uid="{71BCAB16-2998-4ACC-A9DB-172AD51FE57D}" name="Produtos"/>
    <tableColumn id="4" xr3:uid="{EDCCE73B-8908-4121-9938-9843EBAD9233}" name="Unidade" dataDxfId="11">
      <calculatedColumnFormula>IFERROR(VLOOKUP(Tabela712[[#This Row],[Produtos]],Calculos!$F$4:$I$33,4,FALSE),"")</calculatedColumnFormula>
    </tableColumn>
    <tableColumn id="5" xr3:uid="{67BA4D35-E21D-4A01-9743-C90A5ADDBAAB}" name="Quantidade"/>
    <tableColumn id="6" xr3:uid="{E1AB458C-08C2-41B5-B37D-8ED5572D0BB8}" name="Preço Unitário" dataCellStyle="Moeda">
      <calculatedColumnFormula>IFERROR(VLOOKUP(Tabela712[[#This Row],[Produtos]],Calculos!$F$4:$I$33,3,FALSE),0)</calculatedColumnFormula>
    </tableColumn>
    <tableColumn id="7" xr3:uid="{FCCE7239-8F4D-4A62-BAEA-FC0FD10BA266}" name="SubTotal" dataCellStyle="Moeda">
      <calculatedColumnFormula>Tabela712[[#This Row],[Preço Unitário]]*Tabela712[[#This Row],[Quantidade]]</calculatedColumnFormula>
    </tableColumn>
    <tableColumn id="8" xr3:uid="{7A656792-2844-4ECB-837A-A1A0500EC0B6}" name="Desconto" dataCellStyle="Porcentagem"/>
    <tableColumn id="9" xr3:uid="{5971C94A-DEFD-4D2F-817F-1BB1DDAC0F15}" name="Entrega"/>
    <tableColumn id="10" xr3:uid="{345D80CF-3F72-44A0-93FD-D7EC28101675}" name="Valor da Entrega" dataDxfId="10">
      <calculatedColumnFormula>VLOOKUP(Tabela712[[#This Row],[Entrega]],Calculos!$A$5:$B$9,2,FALSE)</calculatedColumnFormula>
    </tableColumn>
    <tableColumn id="11" xr3:uid="{E1191F5E-FEC8-4F34-B306-758199EC8BD5}" name="Total" dataDxfId="9">
      <calculatedColumnFormula>Tabela712[[#This Row],[SubTotal]]*(1-Tabela712[[#This Row],[Desconto]]+Tabela712[[#This Row],[Valor da Entrega]])</calculatedColumnFormula>
    </tableColumn>
    <tableColumn id="12" xr3:uid="{3CCC49B4-A732-480C-9521-CE8CF16B679F}" name="Total Cliente" dataDxfId="8">
      <calculatedColumnFormula>IF(Tabela712[[#This Row],[Id da Venda]]=C7,"",SUMIF(Tabela712[Id da Venda],Tabela712[[#This Row],[Id da Venda]],Tabela712[Total]))</calculatedColumnFormula>
    </tableColumn>
  </tableColumns>
  <tableStyleInfo name="TableStyleDark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D5DB305-2408-4310-B053-17712A68796F}" name="Tabela713" displayName="Tabela713" ref="C5:N30" totalsRowShown="0">
  <autoFilter ref="C5:N30" xr:uid="{ABA1239A-1AEB-4843-9A75-B351AD953834}"/>
  <tableColumns count="12">
    <tableColumn id="1" xr3:uid="{4F7E4963-8DC9-48AA-8142-0D40F4A21A27}" name="Id da Venda"/>
    <tableColumn id="2" xr3:uid="{DAED4229-06ED-4812-BF8B-FFC0728DEC87}" name="Data da Venda"/>
    <tableColumn id="3" xr3:uid="{4442CE75-92DD-4493-ACF4-AFF7F6C22605}" name="Produtos"/>
    <tableColumn id="4" xr3:uid="{B83F32DD-219C-4CAE-A337-BBE1C7A063D1}" name="Unidade" dataDxfId="7">
      <calculatedColumnFormula>IFERROR(VLOOKUP(Tabela713[[#This Row],[Produtos]],Calculos!$F$4:$I$33,4,FALSE),"")</calculatedColumnFormula>
    </tableColumn>
    <tableColumn id="5" xr3:uid="{B6C4EFF1-D89B-4571-93D8-19530F4B0E10}" name="Quantidade"/>
    <tableColumn id="6" xr3:uid="{2B5DDA8E-A5AC-44BB-B26E-B824E4549FDD}" name="Preço Unitário" dataCellStyle="Moeda">
      <calculatedColumnFormula>IFERROR(VLOOKUP(Tabela713[[#This Row],[Produtos]],Calculos!$F$4:$I$33,3,FALSE),0)</calculatedColumnFormula>
    </tableColumn>
    <tableColumn id="7" xr3:uid="{06B536F4-E1AA-48E7-9E7E-BAA24CD05B8C}" name="SubTotal" dataCellStyle="Moeda">
      <calculatedColumnFormula>Tabela713[[#This Row],[Preço Unitário]]*Tabela713[[#This Row],[Quantidade]]</calculatedColumnFormula>
    </tableColumn>
    <tableColumn id="8" xr3:uid="{F856A447-6B23-4B74-9383-8C0238890FA9}" name="Desconto" dataCellStyle="Porcentagem"/>
    <tableColumn id="9" xr3:uid="{DC361A3E-F9BD-45AF-A36D-436232AF4277}" name="Entrega"/>
    <tableColumn id="10" xr3:uid="{6BE28047-74B4-4F48-BC8E-F704C44BE77A}" name="Valor da Entrega" dataDxfId="6">
      <calculatedColumnFormula>VLOOKUP(Tabela713[[#This Row],[Entrega]],Calculos!$A$5:$B$9,2,FALSE)</calculatedColumnFormula>
    </tableColumn>
    <tableColumn id="11" xr3:uid="{65AECE84-7778-42E7-A553-57B74C0A711D}" name="Total" dataDxfId="5">
      <calculatedColumnFormula>Tabela713[[#This Row],[SubTotal]]*(1-Tabela713[[#This Row],[Desconto]]+Tabela713[[#This Row],[Valor da Entrega]])</calculatedColumnFormula>
    </tableColumn>
    <tableColumn id="12" xr3:uid="{E7195FA7-72D4-4B52-AE84-13F2EA35D071}" name="Total Cliente" dataDxfId="4">
      <calculatedColumnFormula>IF(Tabela713[[#This Row],[Id da Venda]]=C7,"",SUMIF(Tabela713[Id da Venda],Tabela713[[#This Row],[Id da Venda]],Tabela713[Total]))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4C319-562B-450E-9DB5-0728FE7F71C1}">
  <sheetPr codeName="Planilha1"/>
  <dimension ref="A1"/>
  <sheetViews>
    <sheetView workbookViewId="0"/>
  </sheetViews>
  <sheetFormatPr defaultRowHeight="15" x14ac:dyDescent="0.25"/>
  <cols>
    <col min="1" max="1" width="9.42578125" customWidth="1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F19C8-D722-4429-82D4-8331330E4159}">
  <sheetPr codeName="Planilha2"/>
  <dimension ref="A1:I58"/>
  <sheetViews>
    <sheetView showGridLines="0" topLeftCell="A16" zoomScaleNormal="100" workbookViewId="0">
      <selection activeCell="A8" sqref="A8"/>
    </sheetView>
  </sheetViews>
  <sheetFormatPr defaultRowHeight="15" x14ac:dyDescent="0.25"/>
  <cols>
    <col min="1" max="1" width="19.140625" customWidth="1"/>
    <col min="2" max="2" width="31.5703125" customWidth="1"/>
    <col min="3" max="4" width="29.140625" customWidth="1"/>
    <col min="5" max="5" width="29.7109375" customWidth="1"/>
    <col min="6" max="6" width="21.28515625" customWidth="1"/>
    <col min="7" max="7" width="17.85546875" customWidth="1"/>
  </cols>
  <sheetData>
    <row r="1" spans="1:9" s="1" customFormat="1" ht="40.5" customHeight="1" x14ac:dyDescent="0.35">
      <c r="A1" s="5" t="s">
        <v>13</v>
      </c>
    </row>
    <row r="2" spans="1:9" s="1" customFormat="1" ht="12.75" customHeight="1" x14ac:dyDescent="0.2"/>
    <row r="3" spans="1:9" ht="12.75" customHeight="1" x14ac:dyDescent="0.25"/>
    <row r="4" spans="1:9" x14ac:dyDescent="0.25">
      <c r="B4" t="s">
        <v>19</v>
      </c>
      <c r="C4" t="s">
        <v>18</v>
      </c>
      <c r="D4" t="s">
        <v>14</v>
      </c>
      <c r="E4" t="s">
        <v>15</v>
      </c>
      <c r="F4" t="s">
        <v>16</v>
      </c>
    </row>
    <row r="5" spans="1:9" x14ac:dyDescent="0.25">
      <c r="B5" t="s">
        <v>0</v>
      </c>
      <c r="E5" s="3"/>
      <c r="F5" s="4">
        <v>1000</v>
      </c>
    </row>
    <row r="6" spans="1:9" x14ac:dyDescent="0.25">
      <c r="B6" t="s">
        <v>21</v>
      </c>
      <c r="E6" s="3"/>
      <c r="F6" s="4">
        <f>SUM(E7:E11)</f>
        <v>17500</v>
      </c>
    </row>
    <row r="7" spans="1:9" x14ac:dyDescent="0.25">
      <c r="C7" t="s">
        <v>1</v>
      </c>
      <c r="E7" s="3">
        <v>10000</v>
      </c>
      <c r="F7" s="4"/>
      <c r="I7" s="2"/>
    </row>
    <row r="8" spans="1:9" x14ac:dyDescent="0.25">
      <c r="C8" t="s">
        <v>2</v>
      </c>
      <c r="E8" s="3">
        <v>500</v>
      </c>
      <c r="F8" s="4"/>
    </row>
    <row r="9" spans="1:9" x14ac:dyDescent="0.25">
      <c r="C9" t="s">
        <v>3</v>
      </c>
      <c r="E9" s="3">
        <v>3000</v>
      </c>
      <c r="F9" s="4"/>
    </row>
    <row r="10" spans="1:9" x14ac:dyDescent="0.25">
      <c r="C10" t="s">
        <v>4</v>
      </c>
      <c r="E10" s="3">
        <v>2500</v>
      </c>
      <c r="F10" s="4"/>
    </row>
    <row r="11" spans="1:9" x14ac:dyDescent="0.25">
      <c r="C11" t="s">
        <v>6</v>
      </c>
      <c r="D11" t="s">
        <v>31</v>
      </c>
      <c r="E11" s="3">
        <v>1500</v>
      </c>
      <c r="F11" s="4"/>
    </row>
    <row r="12" spans="1:9" x14ac:dyDescent="0.25">
      <c r="B12" t="s">
        <v>20</v>
      </c>
      <c r="E12" s="3"/>
      <c r="F12" s="4">
        <v>900</v>
      </c>
    </row>
    <row r="13" spans="1:9" x14ac:dyDescent="0.25">
      <c r="B13" t="s">
        <v>22</v>
      </c>
      <c r="E13" s="3"/>
      <c r="F13" s="4">
        <v>6000</v>
      </c>
    </row>
    <row r="14" spans="1:9" x14ac:dyDescent="0.25">
      <c r="B14" t="s">
        <v>29</v>
      </c>
      <c r="E14" s="3"/>
      <c r="F14" s="4">
        <f>SUM(E15:E19)</f>
        <v>5300</v>
      </c>
    </row>
    <row r="15" spans="1:9" x14ac:dyDescent="0.25">
      <c r="C15" t="s">
        <v>26</v>
      </c>
      <c r="E15" s="3">
        <v>800</v>
      </c>
      <c r="F15" s="4"/>
    </row>
    <row r="16" spans="1:9" x14ac:dyDescent="0.25">
      <c r="C16" t="s">
        <v>30</v>
      </c>
      <c r="E16" s="3">
        <v>3200</v>
      </c>
      <c r="F16" s="4"/>
    </row>
    <row r="17" spans="2:7" x14ac:dyDescent="0.25">
      <c r="C17" t="s">
        <v>27</v>
      </c>
      <c r="E17" s="3">
        <v>500</v>
      </c>
      <c r="F17" s="4"/>
    </row>
    <row r="18" spans="2:7" x14ac:dyDescent="0.25">
      <c r="C18" t="s">
        <v>28</v>
      </c>
      <c r="E18" s="3">
        <v>800</v>
      </c>
      <c r="F18" s="4"/>
    </row>
    <row r="19" spans="2:7" x14ac:dyDescent="0.25">
      <c r="C19" t="s">
        <v>6</v>
      </c>
      <c r="E19" s="3">
        <v>0</v>
      </c>
      <c r="F19" s="4"/>
    </row>
    <row r="20" spans="2:7" x14ac:dyDescent="0.25">
      <c r="B20" t="s">
        <v>7</v>
      </c>
      <c r="E20" s="3"/>
      <c r="F20" s="4">
        <v>300</v>
      </c>
    </row>
    <row r="21" spans="2:7" x14ac:dyDescent="0.25">
      <c r="B21" t="s">
        <v>23</v>
      </c>
      <c r="E21" s="3"/>
      <c r="F21" s="4">
        <f>SUM(E22:E27)</f>
        <v>11950</v>
      </c>
    </row>
    <row r="22" spans="2:7" x14ac:dyDescent="0.25">
      <c r="C22" t="s">
        <v>24</v>
      </c>
      <c r="E22" s="3">
        <v>1650</v>
      </c>
      <c r="F22" s="4"/>
    </row>
    <row r="23" spans="2:7" x14ac:dyDescent="0.25">
      <c r="C23" t="s">
        <v>25</v>
      </c>
      <c r="E23" s="3">
        <v>3000</v>
      </c>
      <c r="F23" s="4"/>
    </row>
    <row r="24" spans="2:7" x14ac:dyDescent="0.25">
      <c r="C24" t="s">
        <v>10</v>
      </c>
      <c r="E24" s="3">
        <v>3000</v>
      </c>
      <c r="F24" s="4"/>
    </row>
    <row r="25" spans="2:7" x14ac:dyDescent="0.25">
      <c r="C25" t="s">
        <v>11</v>
      </c>
      <c r="E25" s="3">
        <v>2700</v>
      </c>
      <c r="F25" s="4"/>
    </row>
    <row r="26" spans="2:7" x14ac:dyDescent="0.25">
      <c r="C26" t="s">
        <v>5</v>
      </c>
      <c r="E26" s="3">
        <v>1500</v>
      </c>
      <c r="F26" s="4"/>
    </row>
    <row r="27" spans="2:7" x14ac:dyDescent="0.25">
      <c r="C27" t="s">
        <v>6</v>
      </c>
      <c r="E27" s="3">
        <v>100</v>
      </c>
      <c r="F27" s="4"/>
    </row>
    <row r="28" spans="2:7" x14ac:dyDescent="0.25">
      <c r="B28" t="s">
        <v>12</v>
      </c>
      <c r="E28" s="3"/>
      <c r="F28" s="4">
        <v>1500</v>
      </c>
    </row>
    <row r="29" spans="2:7" x14ac:dyDescent="0.25">
      <c r="B29" t="s">
        <v>6</v>
      </c>
      <c r="E29" s="3"/>
      <c r="F29" s="4">
        <v>957</v>
      </c>
    </row>
    <row r="31" spans="2:7" s="3" customFormat="1" ht="26.25" x14ac:dyDescent="0.4">
      <c r="B31" s="18" t="s">
        <v>32</v>
      </c>
      <c r="C31" s="19"/>
      <c r="F31" s="17">
        <f>SUM(Tabela1[Valor Final])</f>
        <v>45407</v>
      </c>
      <c r="G31" s="6"/>
    </row>
    <row r="33" spans="2:6" ht="26.25" x14ac:dyDescent="0.4">
      <c r="B33" s="20" t="s">
        <v>87</v>
      </c>
      <c r="C33" s="15"/>
      <c r="F33" s="17">
        <f>SUM(Tabela4[Valor Pago])</f>
        <v>13889.619999999999</v>
      </c>
    </row>
    <row r="35" spans="2:6" ht="26.25" x14ac:dyDescent="0.4">
      <c r="B35" s="20" t="s">
        <v>88</v>
      </c>
      <c r="F35" s="17">
        <f>SUM(F31:F33)</f>
        <v>59296.619999999995</v>
      </c>
    </row>
    <row r="54" spans="2:2" x14ac:dyDescent="0.25">
      <c r="B54" t="s">
        <v>8</v>
      </c>
    </row>
    <row r="55" spans="2:2" x14ac:dyDescent="0.25">
      <c r="B55" t="s">
        <v>9</v>
      </c>
    </row>
    <row r="56" spans="2:2" x14ac:dyDescent="0.25">
      <c r="B56" t="s">
        <v>10</v>
      </c>
    </row>
    <row r="57" spans="2:2" x14ac:dyDescent="0.25">
      <c r="B57" t="s">
        <v>11</v>
      </c>
    </row>
    <row r="58" spans="2:2" x14ac:dyDescent="0.25">
      <c r="B58" t="s">
        <v>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14240-7123-4E6D-A3C3-5E32E26CFBA3}">
  <sheetPr codeName="Planilha3"/>
  <dimension ref="A1:I28"/>
  <sheetViews>
    <sheetView showGridLines="0" topLeftCell="A4" workbookViewId="0">
      <selection activeCell="A12" sqref="A12"/>
    </sheetView>
  </sheetViews>
  <sheetFormatPr defaultRowHeight="15" x14ac:dyDescent="0.25"/>
  <cols>
    <col min="1" max="1" width="29.7109375" customWidth="1"/>
    <col min="2" max="2" width="20.28515625" customWidth="1"/>
    <col min="3" max="3" width="37.85546875" customWidth="1"/>
    <col min="4" max="4" width="15.140625" customWidth="1"/>
    <col min="5" max="5" width="15.140625" style="9" customWidth="1"/>
    <col min="6" max="6" width="14.140625" customWidth="1"/>
    <col min="7" max="7" width="15.7109375" customWidth="1"/>
    <col min="8" max="8" width="11.5703125" customWidth="1"/>
    <col min="9" max="9" width="22.42578125" customWidth="1"/>
  </cols>
  <sheetData>
    <row r="1" spans="1:9" s="1" customFormat="1" ht="40.5" customHeight="1" x14ac:dyDescent="0.35">
      <c r="A1" s="5" t="s">
        <v>51</v>
      </c>
    </row>
    <row r="2" spans="1:9" s="1" customFormat="1" ht="12.75" customHeight="1" x14ac:dyDescent="0.2"/>
    <row r="4" spans="1:9" x14ac:dyDescent="0.25">
      <c r="B4" t="s">
        <v>52</v>
      </c>
      <c r="C4" t="s">
        <v>53</v>
      </c>
      <c r="D4" t="s">
        <v>54</v>
      </c>
      <c r="E4" s="9" t="s">
        <v>60</v>
      </c>
      <c r="F4" t="s">
        <v>56</v>
      </c>
      <c r="G4" t="s">
        <v>57</v>
      </c>
      <c r="H4" t="s">
        <v>58</v>
      </c>
      <c r="I4" t="s">
        <v>59</v>
      </c>
    </row>
    <row r="5" spans="1:9" x14ac:dyDescent="0.25">
      <c r="B5" s="29">
        <v>42190</v>
      </c>
      <c r="C5" s="26" t="s">
        <v>78</v>
      </c>
      <c r="D5" s="28" t="s">
        <v>34</v>
      </c>
      <c r="E5" s="31" t="str">
        <f>IFERROR(VLOOKUP(Tabela4[[#This Row],[Mercadoria]],Calculos!$F$4:$I$29,4,FALSE),"")</f>
        <v>Kg</v>
      </c>
      <c r="F5" s="30">
        <v>120</v>
      </c>
      <c r="G5" s="3">
        <f>IFERROR(VLOOKUP(Tabela4[[#This Row],[Mercadoria]],Calculos!$F$4:$I$29,2,FALSE),"")</f>
        <v>4.07</v>
      </c>
      <c r="H5" s="7"/>
      <c r="I5" s="3">
        <f>Tabela4[[#This Row],[Quantidade]]*Tabela4[[#This Row],[Preço Unitario]]*(1-Tabela4[[#This Row],[Desconto]])</f>
        <v>488.40000000000003</v>
      </c>
    </row>
    <row r="6" spans="1:9" x14ac:dyDescent="0.25">
      <c r="B6" s="29">
        <v>42189</v>
      </c>
      <c r="C6" s="26" t="s">
        <v>78</v>
      </c>
      <c r="D6" s="28" t="s">
        <v>34</v>
      </c>
      <c r="E6" s="31" t="str">
        <f>IFERROR(VLOOKUP(Tabela4[[#This Row],[Mercadoria]],Calculos!$F$4:$I$29,4,FALSE),"")</f>
        <v>Kg</v>
      </c>
      <c r="F6" s="30">
        <v>150</v>
      </c>
      <c r="G6" s="3">
        <f>IFERROR(VLOOKUP(Tabela4[[#This Row],[Mercadoria]],Calculos!$F$4:$I$29,2,FALSE),"")</f>
        <v>4.07</v>
      </c>
      <c r="H6" s="7"/>
      <c r="I6" s="3">
        <f>Tabela4[[#This Row],[Quantidade]]*Tabela4[[#This Row],[Preço Unitario]]*(1-Tabela4[[#This Row],[Desconto]])</f>
        <v>610.5</v>
      </c>
    </row>
    <row r="7" spans="1:9" x14ac:dyDescent="0.25">
      <c r="A7" s="73"/>
      <c r="B7" s="29">
        <v>42189</v>
      </c>
      <c r="C7" s="26" t="s">
        <v>78</v>
      </c>
      <c r="D7" s="28" t="s">
        <v>33</v>
      </c>
      <c r="E7" s="31" t="str">
        <f>IFERROR(VLOOKUP(Tabela4[[#This Row],[Mercadoria]],Calculos!$F$4:$I$29,4,FALSE),"")</f>
        <v>Kg</v>
      </c>
      <c r="F7" s="30">
        <v>150</v>
      </c>
      <c r="G7" s="3">
        <f>IFERROR(VLOOKUP(Tabela4[[#This Row],[Mercadoria]],Calculos!$F$4:$I$29,2,FALSE),"")</f>
        <v>2.34</v>
      </c>
      <c r="H7" s="7"/>
      <c r="I7" s="3">
        <f>Tabela4[[#This Row],[Quantidade]]*Tabela4[[#This Row],[Preço Unitario]]*(1-Tabela4[[#This Row],[Desconto]])</f>
        <v>351</v>
      </c>
    </row>
    <row r="8" spans="1:9" x14ac:dyDescent="0.25">
      <c r="A8" s="73"/>
      <c r="B8" s="29">
        <v>42189</v>
      </c>
      <c r="C8" s="26" t="s">
        <v>79</v>
      </c>
      <c r="D8" s="28" t="s">
        <v>46</v>
      </c>
      <c r="E8" s="31" t="str">
        <f>IFERROR(VLOOKUP(Tabela4[[#This Row],[Mercadoria]],Calculos!$F$4:$I$29,4,FALSE),"")</f>
        <v>Lata</v>
      </c>
      <c r="F8" s="30">
        <v>100</v>
      </c>
      <c r="G8" s="3">
        <f>IFERROR(VLOOKUP(Tabela4[[#This Row],[Mercadoria]],Calculos!$F$4:$I$29,2,FALSE),"")</f>
        <v>2.1</v>
      </c>
      <c r="H8" s="7"/>
      <c r="I8" s="3">
        <f>Tabela4[[#This Row],[Quantidade]]*Tabela4[[#This Row],[Preço Unitario]]*(1-Tabela4[[#This Row],[Desconto]])</f>
        <v>210</v>
      </c>
    </row>
    <row r="9" spans="1:9" x14ac:dyDescent="0.25">
      <c r="A9" s="73"/>
      <c r="B9" s="29">
        <v>42189</v>
      </c>
      <c r="C9" s="26" t="s">
        <v>79</v>
      </c>
      <c r="D9" s="28" t="s">
        <v>42</v>
      </c>
      <c r="E9" s="31" t="str">
        <f>IFERROR(VLOOKUP(Tabela4[[#This Row],[Mercadoria]],Calculos!$F$4:$I$29,4,FALSE),"")</f>
        <v>Litro</v>
      </c>
      <c r="F9" s="30">
        <v>200</v>
      </c>
      <c r="G9" s="3">
        <f>IFERROR(VLOOKUP(Tabela4[[#This Row],[Mercadoria]],Calculos!$F$4:$I$29,2,FALSE),"")</f>
        <v>3.21</v>
      </c>
      <c r="H9" s="7"/>
      <c r="I9" s="3">
        <f>Tabela4[[#This Row],[Quantidade]]*Tabela4[[#This Row],[Preço Unitario]]*(1-Tabela4[[#This Row],[Desconto]])</f>
        <v>642</v>
      </c>
    </row>
    <row r="10" spans="1:9" x14ac:dyDescent="0.25">
      <c r="A10" s="73"/>
      <c r="B10" s="29">
        <v>42188</v>
      </c>
      <c r="C10" s="26" t="s">
        <v>80</v>
      </c>
      <c r="D10" s="28" t="s">
        <v>72</v>
      </c>
      <c r="E10" s="31" t="str">
        <f>IFERROR(VLOOKUP(Tabela4[[#This Row],[Mercadoria]],Calculos!$F$4:$I$29,4,FALSE),"")</f>
        <v>Maço</v>
      </c>
      <c r="F10" s="30">
        <v>100</v>
      </c>
      <c r="G10" s="3">
        <f>IFERROR(VLOOKUP(Tabela4[[#This Row],[Mercadoria]],Calculos!$F$4:$I$29,2,FALSE),"")</f>
        <v>6.35</v>
      </c>
      <c r="H10" s="7"/>
      <c r="I10" s="3">
        <f>Tabela4[[#This Row],[Quantidade]]*Tabela4[[#This Row],[Preço Unitario]]*(1-Tabela4[[#This Row],[Desconto]])</f>
        <v>635</v>
      </c>
    </row>
    <row r="11" spans="1:9" x14ac:dyDescent="0.25">
      <c r="B11" s="29">
        <v>42188</v>
      </c>
      <c r="C11" s="26" t="s">
        <v>81</v>
      </c>
      <c r="D11" s="28" t="s">
        <v>70</v>
      </c>
      <c r="E11" s="31" t="str">
        <f>IFERROR(VLOOKUP(Tabela4[[#This Row],[Mercadoria]],Calculos!$F$4:$I$29,4,FALSE),"")</f>
        <v>Barra</v>
      </c>
      <c r="F11" s="30">
        <v>100</v>
      </c>
      <c r="G11" s="3">
        <f>IFERROR(VLOOKUP(Tabela4[[#This Row],[Mercadoria]],Calculos!$F$4:$I$29,2,FALSE),"")</f>
        <v>4.54</v>
      </c>
      <c r="H11" s="7"/>
      <c r="I11" s="3">
        <f>Tabela4[[#This Row],[Quantidade]]*Tabela4[[#This Row],[Preço Unitario]]*(1-Tabela4[[#This Row],[Desconto]])</f>
        <v>454</v>
      </c>
    </row>
    <row r="12" spans="1:9" x14ac:dyDescent="0.25">
      <c r="B12" s="29">
        <v>42188</v>
      </c>
      <c r="C12" s="26" t="s">
        <v>78</v>
      </c>
      <c r="D12" s="28" t="s">
        <v>34</v>
      </c>
      <c r="E12" s="31" t="str">
        <f>IFERROR(VLOOKUP(Tabela4[[#This Row],[Mercadoria]],Calculos!$F$4:$I$29,4,FALSE),"")</f>
        <v>Kg</v>
      </c>
      <c r="F12" s="30">
        <v>300</v>
      </c>
      <c r="G12" s="3">
        <f>IFERROR(VLOOKUP(Tabela4[[#This Row],[Mercadoria]],Calculos!$F$4:$I$29,2,FALSE),"")</f>
        <v>4.07</v>
      </c>
      <c r="H12" s="7">
        <v>0.03</v>
      </c>
      <c r="I12" s="3">
        <f>Tabela4[[#This Row],[Quantidade]]*Tabela4[[#This Row],[Preço Unitario]]*(1-Tabela4[[#This Row],[Desconto]])</f>
        <v>1184.3699999999999</v>
      </c>
    </row>
    <row r="13" spans="1:9" x14ac:dyDescent="0.25">
      <c r="B13" s="29">
        <v>42188</v>
      </c>
      <c r="C13" s="26" t="s">
        <v>78</v>
      </c>
      <c r="D13" s="28" t="s">
        <v>45</v>
      </c>
      <c r="E13" s="31" t="str">
        <f>IFERROR(VLOOKUP(Tabela4[[#This Row],[Mercadoria]],Calculos!$F$4:$I$29,4,FALSE),"")</f>
        <v>Pacote</v>
      </c>
      <c r="F13" s="30">
        <v>50</v>
      </c>
      <c r="G13" s="3">
        <f>IFERROR(VLOOKUP(Tabela4[[#This Row],[Mercadoria]],Calculos!$F$4:$I$29,2,FALSE),"")</f>
        <v>1.06</v>
      </c>
      <c r="H13" s="7"/>
      <c r="I13" s="3">
        <f>Tabela4[[#This Row],[Quantidade]]*Tabela4[[#This Row],[Preço Unitario]]*(1-Tabela4[[#This Row],[Desconto]])</f>
        <v>53</v>
      </c>
    </row>
    <row r="14" spans="1:9" x14ac:dyDescent="0.25">
      <c r="B14" s="29">
        <v>42188</v>
      </c>
      <c r="C14" s="26" t="s">
        <v>82</v>
      </c>
      <c r="D14" s="28" t="s">
        <v>74</v>
      </c>
      <c r="E14" s="31" t="str">
        <f>IFERROR(VLOOKUP(Tabela4[[#This Row],[Mercadoria]],Calculos!$F$4:$I$29,4,FALSE),"")</f>
        <v>Unidade</v>
      </c>
      <c r="F14" s="30">
        <v>300</v>
      </c>
      <c r="G14" s="3">
        <f>IFERROR(VLOOKUP(Tabela4[[#This Row],[Mercadoria]],Calculos!$F$4:$I$29,2,FALSE),"")</f>
        <v>2.63</v>
      </c>
      <c r="H14" s="7"/>
      <c r="I14" s="3">
        <f>Tabela4[[#This Row],[Quantidade]]*Tabela4[[#This Row],[Preço Unitario]]*(1-Tabela4[[#This Row],[Desconto]])</f>
        <v>789</v>
      </c>
    </row>
    <row r="15" spans="1:9" x14ac:dyDescent="0.25">
      <c r="B15" s="29">
        <v>42188</v>
      </c>
      <c r="C15" s="26" t="s">
        <v>81</v>
      </c>
      <c r="D15" s="28" t="s">
        <v>50</v>
      </c>
      <c r="E15" s="31" t="str">
        <f>IFERROR(VLOOKUP(Tabela4[[#This Row],[Mercadoria]],Calculos!$F$4:$I$29,4,FALSE),"")</f>
        <v>Pacote</v>
      </c>
      <c r="F15" s="30">
        <v>100</v>
      </c>
      <c r="G15" s="3">
        <f>IFERROR(VLOOKUP(Tabela4[[#This Row],[Mercadoria]],Calculos!$F$4:$I$29,2,FALSE),"")</f>
        <v>1.85</v>
      </c>
      <c r="H15" s="7"/>
      <c r="I15" s="3">
        <f>Tabela4[[#This Row],[Quantidade]]*Tabela4[[#This Row],[Preço Unitario]]*(1-Tabela4[[#This Row],[Desconto]])</f>
        <v>185</v>
      </c>
    </row>
    <row r="16" spans="1:9" x14ac:dyDescent="0.25">
      <c r="B16" s="29">
        <v>42188</v>
      </c>
      <c r="C16" s="26" t="s">
        <v>79</v>
      </c>
      <c r="D16" s="28" t="s">
        <v>46</v>
      </c>
      <c r="E16" s="31" t="str">
        <f>IFERROR(VLOOKUP(Tabela4[[#This Row],[Mercadoria]],Calculos!$F$4:$I$29,4,FALSE),"")</f>
        <v>Lata</v>
      </c>
      <c r="F16" s="30">
        <v>100</v>
      </c>
      <c r="G16" s="3">
        <f>IFERROR(VLOOKUP(Tabela4[[#This Row],[Mercadoria]],Calculos!$F$4:$I$29,2,FALSE),"")</f>
        <v>2.1</v>
      </c>
      <c r="H16" s="7"/>
      <c r="I16" s="3">
        <f>Tabela4[[#This Row],[Quantidade]]*Tabela4[[#This Row],[Preço Unitario]]*(1-Tabela4[[#This Row],[Desconto]])</f>
        <v>210</v>
      </c>
    </row>
    <row r="17" spans="1:9" x14ac:dyDescent="0.25">
      <c r="B17" s="29">
        <v>42188</v>
      </c>
      <c r="C17" s="26" t="s">
        <v>83</v>
      </c>
      <c r="D17" s="28" t="s">
        <v>38</v>
      </c>
      <c r="E17" s="31" t="str">
        <f>IFERROR(VLOOKUP(Tabela4[[#This Row],[Mercadoria]],Calculos!$F$4:$I$29,4,FALSE),"")</f>
        <v>Kg</v>
      </c>
      <c r="F17" s="30">
        <v>110</v>
      </c>
      <c r="G17" s="3">
        <f>IFERROR(VLOOKUP(Tabela4[[#This Row],[Mercadoria]],Calculos!$F$4:$I$29,2,FALSE),"")</f>
        <v>6.42</v>
      </c>
      <c r="H17" s="7"/>
      <c r="I17" s="3">
        <f>Tabela4[[#This Row],[Quantidade]]*Tabela4[[#This Row],[Preço Unitario]]*(1-Tabela4[[#This Row],[Desconto]])</f>
        <v>706.2</v>
      </c>
    </row>
    <row r="18" spans="1:9" x14ac:dyDescent="0.25">
      <c r="B18" s="29">
        <v>42188</v>
      </c>
      <c r="C18" s="26" t="s">
        <v>84</v>
      </c>
      <c r="D18" s="28" t="s">
        <v>39</v>
      </c>
      <c r="E18" s="31" t="str">
        <f>IFERROR(VLOOKUP(Tabela4[[#This Row],[Mercadoria]],Calculos!$F$4:$I$29,4,FALSE),"")</f>
        <v>Kg</v>
      </c>
      <c r="F18" s="30">
        <v>50</v>
      </c>
      <c r="G18" s="3">
        <f>IFERROR(VLOOKUP(Tabela4[[#This Row],[Mercadoria]],Calculos!$F$4:$I$29,2,FALSE),"")</f>
        <v>22.23</v>
      </c>
      <c r="H18" s="7">
        <v>0.1</v>
      </c>
      <c r="I18" s="3">
        <f>Tabela4[[#This Row],[Quantidade]]*Tabela4[[#This Row],[Preço Unitario]]*(1-Tabela4[[#This Row],[Desconto]])</f>
        <v>1000.35</v>
      </c>
    </row>
    <row r="19" spans="1:9" x14ac:dyDescent="0.25">
      <c r="B19" s="29">
        <v>42187</v>
      </c>
      <c r="C19" s="26" t="s">
        <v>78</v>
      </c>
      <c r="D19" s="28" t="s">
        <v>33</v>
      </c>
      <c r="E19" s="31" t="str">
        <f>IFERROR(VLOOKUP(Tabela4[[#This Row],[Mercadoria]],Calculos!$F$4:$I$29,4,FALSE),"")</f>
        <v>Kg</v>
      </c>
      <c r="F19" s="30">
        <v>300</v>
      </c>
      <c r="G19" s="3">
        <f>IFERROR(VLOOKUP(Tabela4[[#This Row],[Mercadoria]],Calculos!$F$4:$I$29,2,FALSE),"")</f>
        <v>2.34</v>
      </c>
      <c r="H19" s="10"/>
      <c r="I19" s="3">
        <f>Tabela4[[#This Row],[Quantidade]]*Tabela4[[#This Row],[Preço Unitario]]*(1-Tabela4[[#This Row],[Desconto]])</f>
        <v>702</v>
      </c>
    </row>
    <row r="20" spans="1:9" x14ac:dyDescent="0.25">
      <c r="B20" s="29">
        <v>42187</v>
      </c>
      <c r="C20" s="26" t="s">
        <v>77</v>
      </c>
      <c r="D20" s="28" t="s">
        <v>36</v>
      </c>
      <c r="E20" s="31" t="str">
        <f>IFERROR(VLOOKUP(Tabela4[[#This Row],[Mercadoria]],Calculos!$F$4:$I$29,4,FALSE),"")</f>
        <v>Unidade</v>
      </c>
      <c r="F20" s="30">
        <v>150</v>
      </c>
      <c r="G20" s="3">
        <f>IFERROR(VLOOKUP(Tabela4[[#This Row],[Mercadoria]],Calculos!$F$4:$I$29,2,FALSE),"")</f>
        <v>2.84</v>
      </c>
      <c r="H20" s="10"/>
      <c r="I20" s="3">
        <f>Tabela4[[#This Row],[Quantidade]]*Tabela4[[#This Row],[Preço Unitario]]*(1-Tabela4[[#This Row],[Desconto]])</f>
        <v>426</v>
      </c>
    </row>
    <row r="21" spans="1:9" x14ac:dyDescent="0.25">
      <c r="B21" s="29">
        <v>42187</v>
      </c>
      <c r="C21" s="26" t="s">
        <v>85</v>
      </c>
      <c r="D21" s="28" t="s">
        <v>43</v>
      </c>
      <c r="E21" s="31" t="str">
        <f>IFERROR(VLOOKUP(Tabela4[[#This Row],[Mercadoria]],Calculos!$F$4:$I$29,4,FALSE),"")</f>
        <v>Kg</v>
      </c>
      <c r="F21" s="30">
        <v>150</v>
      </c>
      <c r="G21" s="3">
        <f>IFERROR(VLOOKUP(Tabela4[[#This Row],[Mercadoria]],Calculos!$F$4:$I$29,2,FALSE),"")</f>
        <v>3.63</v>
      </c>
      <c r="H21" s="10"/>
      <c r="I21" s="3">
        <f>Tabela4[[#This Row],[Quantidade]]*Tabela4[[#This Row],[Preço Unitario]]*(1-Tabela4[[#This Row],[Desconto]])</f>
        <v>544.5</v>
      </c>
    </row>
    <row r="22" spans="1:9" x14ac:dyDescent="0.25">
      <c r="B22" s="29">
        <v>42187</v>
      </c>
      <c r="C22" s="26" t="s">
        <v>86</v>
      </c>
      <c r="D22" s="28" t="s">
        <v>37</v>
      </c>
      <c r="E22" s="31" t="str">
        <f>IFERROR(VLOOKUP(Tabela4[[#This Row],[Mercadoria]],Calculos!$F$4:$I$29,4,FALSE),"")</f>
        <v>Kg</v>
      </c>
      <c r="F22" s="30">
        <v>150</v>
      </c>
      <c r="G22" s="3">
        <f>IFERROR(VLOOKUP(Tabela4[[#This Row],[Mercadoria]],Calculos!$F$4:$I$29,2,FALSE),"")</f>
        <v>14.47</v>
      </c>
      <c r="H22" s="10"/>
      <c r="I22" s="3">
        <f>Tabela4[[#This Row],[Quantidade]]*Tabela4[[#This Row],[Preço Unitario]]*(1-Tabela4[[#This Row],[Desconto]])</f>
        <v>2170.5</v>
      </c>
    </row>
    <row r="23" spans="1:9" x14ac:dyDescent="0.25">
      <c r="B23" s="29">
        <v>42187</v>
      </c>
      <c r="C23" s="26" t="s">
        <v>79</v>
      </c>
      <c r="D23" s="28" t="s">
        <v>46</v>
      </c>
      <c r="E23" s="31" t="str">
        <f>IFERROR(VLOOKUP(Tabela4[[#This Row],[Mercadoria]],Calculos!$F$4:$I$29,4,FALSE),"")</f>
        <v>Lata</v>
      </c>
      <c r="F23" s="30">
        <v>100</v>
      </c>
      <c r="G23" s="3">
        <f>IFERROR(VLOOKUP(Tabela4[[#This Row],[Mercadoria]],Calculos!$F$4:$I$29,2,FALSE),"")</f>
        <v>2.1</v>
      </c>
      <c r="H23" s="11"/>
      <c r="I23" s="3">
        <f>Tabela4[[#This Row],[Quantidade]]*Tabela4[[#This Row],[Preço Unitario]]*(1-Tabela4[[#This Row],[Desconto]])</f>
        <v>210</v>
      </c>
    </row>
    <row r="24" spans="1:9" s="12" customFormat="1" x14ac:dyDescent="0.25">
      <c r="A24"/>
      <c r="B24" s="29">
        <v>42187</v>
      </c>
      <c r="C24" s="26" t="s">
        <v>79</v>
      </c>
      <c r="D24" s="28" t="s">
        <v>41</v>
      </c>
      <c r="E24" s="31" t="str">
        <f>IFERROR(VLOOKUP(Tabela4[[#This Row],[Mercadoria]],Calculos!$F$4:$I$29,4,FALSE),"")</f>
        <v>Garrafa</v>
      </c>
      <c r="F24" s="30">
        <v>80</v>
      </c>
      <c r="G24" s="3">
        <f>IFERROR(VLOOKUP(Tabela4[[#This Row],[Mercadoria]],Calculos!$F$4:$I$29,2,FALSE),"")</f>
        <v>26.01</v>
      </c>
      <c r="H24" s="27"/>
      <c r="I24" s="3">
        <f>Tabela4[[#This Row],[Quantidade]]*Tabela4[[#This Row],[Preço Unitario]]*(1-Tabela4[[#This Row],[Desconto]])</f>
        <v>2080.8000000000002</v>
      </c>
    </row>
    <row r="25" spans="1:9" x14ac:dyDescent="0.25">
      <c r="B25" s="29">
        <v>42187</v>
      </c>
      <c r="C25" s="26" t="s">
        <v>77</v>
      </c>
      <c r="D25" s="28" t="s">
        <v>48</v>
      </c>
      <c r="E25" s="31" t="str">
        <f>IFERROR(VLOOKUP(Tabela4[[#This Row],[Mercadoria]],Calculos!$F$4:$I$29,4,FALSE),"")</f>
        <v>Unidade</v>
      </c>
      <c r="F25" s="30">
        <v>100</v>
      </c>
      <c r="G25" s="3">
        <f>IFERROR(VLOOKUP(Tabela4[[#This Row],[Mercadoria]],Calculos!$F$4:$I$29,2,FALSE),"")</f>
        <v>2.37</v>
      </c>
      <c r="H25" s="27"/>
      <c r="I25" s="3">
        <f>Tabela4[[#This Row],[Quantidade]]*Tabela4[[#This Row],[Preço Unitario]]*(1-Tabela4[[#This Row],[Desconto]])</f>
        <v>237</v>
      </c>
    </row>
    <row r="26" spans="1:9" x14ac:dyDescent="0.25">
      <c r="B26" s="13"/>
      <c r="C26" s="12"/>
      <c r="D26" s="12"/>
      <c r="E26" s="12"/>
      <c r="F26" s="12"/>
      <c r="G26" s="3"/>
      <c r="H26" s="14"/>
      <c r="I26" s="3"/>
    </row>
    <row r="27" spans="1:9" ht="26.25" x14ac:dyDescent="0.4">
      <c r="B27" s="16" t="s">
        <v>87</v>
      </c>
      <c r="I27" s="17">
        <f>SUM(Tabela4[Valor Pago])</f>
        <v>13889.619999999999</v>
      </c>
    </row>
    <row r="28" spans="1:9" x14ac:dyDescent="0.25">
      <c r="A28" s="12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508795-4482-4A80-A755-BA8F75072A2A}">
          <x14:formula1>
            <xm:f>Calculos!$F$4:$F$31</xm:f>
          </x14:formula1>
          <xm:sqref>D5:D22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22EBC-249F-402A-9C93-720E9FB8FB37}">
  <sheetPr codeName="Planilha4"/>
  <dimension ref="A1:E15"/>
  <sheetViews>
    <sheetView showGridLines="0" topLeftCell="A4" workbookViewId="0">
      <selection activeCell="D16" sqref="D16"/>
    </sheetView>
  </sheetViews>
  <sheetFormatPr defaultRowHeight="15" x14ac:dyDescent="0.25"/>
  <cols>
    <col min="1" max="1" width="27.28515625" customWidth="1"/>
    <col min="2" max="2" width="52.7109375" customWidth="1"/>
    <col min="3" max="3" width="24.42578125" customWidth="1"/>
    <col min="4" max="4" width="37.140625" customWidth="1"/>
    <col min="5" max="5" width="30" customWidth="1"/>
  </cols>
  <sheetData>
    <row r="1" spans="1:5" s="1" customFormat="1" ht="40.5" customHeight="1" x14ac:dyDescent="0.35">
      <c r="A1" s="5" t="s">
        <v>89</v>
      </c>
    </row>
    <row r="2" spans="1:5" s="1" customFormat="1" ht="12.75" customHeight="1" x14ac:dyDescent="0.2"/>
    <row r="4" spans="1:5" s="21" customFormat="1" x14ac:dyDescent="0.25"/>
    <row r="5" spans="1:5" s="21" customFormat="1" x14ac:dyDescent="0.25"/>
    <row r="6" spans="1:5" s="21" customFormat="1" ht="15" customHeight="1" x14ac:dyDescent="0.25"/>
    <row r="7" spans="1:5" ht="27" customHeight="1" x14ac:dyDescent="0.25">
      <c r="B7" t="s">
        <v>89</v>
      </c>
      <c r="C7" t="s">
        <v>17</v>
      </c>
      <c r="D7" t="s">
        <v>92</v>
      </c>
      <c r="E7" t="s">
        <v>93</v>
      </c>
    </row>
    <row r="8" spans="1:5" ht="32.25" customHeight="1" x14ac:dyDescent="0.25">
      <c r="B8" s="21" t="s">
        <v>90</v>
      </c>
      <c r="D8" s="22" t="s">
        <v>96</v>
      </c>
      <c r="E8" s="3">
        <v>400000</v>
      </c>
    </row>
    <row r="9" spans="1:5" ht="32.25" customHeight="1" x14ac:dyDescent="0.25">
      <c r="B9" s="21" t="s">
        <v>5</v>
      </c>
      <c r="D9" s="22" t="s">
        <v>97</v>
      </c>
      <c r="E9" s="3">
        <v>50000</v>
      </c>
    </row>
    <row r="10" spans="1:5" ht="32.25" customHeight="1" x14ac:dyDescent="0.25">
      <c r="B10" s="21" t="s">
        <v>95</v>
      </c>
      <c r="D10" s="22" t="s">
        <v>99</v>
      </c>
      <c r="E10" s="3">
        <v>33000</v>
      </c>
    </row>
    <row r="11" spans="1:5" ht="32.25" customHeight="1" x14ac:dyDescent="0.25">
      <c r="B11" s="21" t="s">
        <v>94</v>
      </c>
      <c r="D11" s="22" t="s">
        <v>98</v>
      </c>
      <c r="E11" s="3">
        <v>20000</v>
      </c>
    </row>
    <row r="12" spans="1:5" ht="32.25" customHeight="1" x14ac:dyDescent="0.25">
      <c r="B12" s="21" t="s">
        <v>6</v>
      </c>
      <c r="D12" s="22" t="s">
        <v>91</v>
      </c>
      <c r="E12" s="3">
        <v>2500</v>
      </c>
    </row>
    <row r="13" spans="1:5" x14ac:dyDescent="0.25">
      <c r="E13" s="3"/>
    </row>
    <row r="14" spans="1:5" ht="18.75" customHeight="1" x14ac:dyDescent="0.25">
      <c r="E14" s="3"/>
    </row>
    <row r="15" spans="1:5" ht="36" customHeight="1" x14ac:dyDescent="0.4">
      <c r="B15" s="16" t="s">
        <v>100</v>
      </c>
      <c r="C15" s="21"/>
      <c r="D15" s="21"/>
      <c r="E15" s="23">
        <f>SUM(Tabela5[Valor])</f>
        <v>505500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33413-D0BA-421D-8936-60B6D124F5A3}">
  <sheetPr codeName="Planilha5"/>
  <dimension ref="A1:H30"/>
  <sheetViews>
    <sheetView showGridLines="0" topLeftCell="A10" workbookViewId="0">
      <selection activeCell="J10" sqref="J10"/>
    </sheetView>
  </sheetViews>
  <sheetFormatPr defaultRowHeight="15" x14ac:dyDescent="0.25"/>
  <cols>
    <col min="1" max="1" width="31" customWidth="1"/>
    <col min="2" max="2" width="15.7109375" bestFit="1" customWidth="1"/>
    <col min="3" max="3" width="22.85546875" customWidth="1"/>
    <col min="4" max="4" width="19.28515625" customWidth="1"/>
    <col min="5" max="5" width="23" customWidth="1"/>
    <col min="6" max="6" width="21.42578125" customWidth="1"/>
    <col min="7" max="7" width="18.7109375" customWidth="1"/>
    <col min="8" max="8" width="12" customWidth="1"/>
  </cols>
  <sheetData>
    <row r="1" spans="1:8" s="1" customFormat="1" ht="40.5" customHeight="1" x14ac:dyDescent="0.35">
      <c r="A1" s="5" t="s">
        <v>101</v>
      </c>
    </row>
    <row r="2" spans="1:8" s="1" customFormat="1" ht="12.75" customHeight="1" x14ac:dyDescent="0.2"/>
    <row r="6" spans="1:8" ht="14.25" customHeight="1" x14ac:dyDescent="0.25">
      <c r="B6" s="24" t="s">
        <v>102</v>
      </c>
      <c r="C6" s="24" t="s">
        <v>103</v>
      </c>
      <c r="D6" s="24" t="s">
        <v>104</v>
      </c>
      <c r="E6" s="24" t="s">
        <v>105</v>
      </c>
      <c r="F6" s="24" t="s">
        <v>106</v>
      </c>
      <c r="G6" s="24" t="s">
        <v>107</v>
      </c>
      <c r="H6" s="24" t="s">
        <v>108</v>
      </c>
    </row>
    <row r="7" spans="1:8" x14ac:dyDescent="0.25">
      <c r="B7" s="25" t="s">
        <v>36</v>
      </c>
      <c r="C7" s="33">
        <f>IFERROR(INDEX(Tabela4[[Data ]],MATCH(B7,Tabela4[Mercadoria],0),1),"")</f>
        <v>42187</v>
      </c>
      <c r="D7" s="32">
        <v>15</v>
      </c>
      <c r="E7">
        <f>SUMIF(Tabela4[Mercadoria],Tabela6[[#This Row],[Produto]],Tabela4[Quantidade])</f>
        <v>150</v>
      </c>
      <c r="F7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5</v>
      </c>
      <c r="G7">
        <f>Tabela6[[#This Row],[Quantidade Inicial]]+Tabela6[[#This Row],[Quantidade Comprada]]-Tabela6[[#This Row],[Quantidade Vendida]]</f>
        <v>160</v>
      </c>
      <c r="H7" t="str">
        <f>IF(Tabela6[[#This Row],[Quantidade Atual]]&lt;50,IF(Tabela6[[#This Row],[Quantidade Atual]]&lt;21,"Comprar","Atenção"),"OK")</f>
        <v>OK</v>
      </c>
    </row>
    <row r="8" spans="1:8" x14ac:dyDescent="0.25">
      <c r="B8" s="25" t="s">
        <v>45</v>
      </c>
      <c r="C8" s="33">
        <f>IFERROR(INDEX(Tabela4[[Data ]],MATCH(B8,Tabela4[Mercadoria],0),1),"")</f>
        <v>42188</v>
      </c>
      <c r="D8" s="32">
        <v>10</v>
      </c>
      <c r="E8">
        <f>SUMIF(Tabela4[Mercadoria],Tabela6[[#This Row],[Produto]],Tabela4[Quantidade])</f>
        <v>50</v>
      </c>
      <c r="F8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5</v>
      </c>
      <c r="G8">
        <f>Tabela6[[#This Row],[Quantidade Inicial]]+Tabela6[[#This Row],[Quantidade Comprada]]-Tabela6[[#This Row],[Quantidade Vendida]]</f>
        <v>55</v>
      </c>
      <c r="H8" t="str">
        <f>IF(Tabela6[[#This Row],[Quantidade Atual]]&lt;50,IF(Tabela6[[#This Row],[Quantidade Atual]]&lt;21,"Comprar","Atenção"),"OK")</f>
        <v>OK</v>
      </c>
    </row>
    <row r="9" spans="1:8" x14ac:dyDescent="0.25">
      <c r="B9" s="25" t="s">
        <v>33</v>
      </c>
      <c r="C9" s="33">
        <f>IFERROR(INDEX(Tabela4[[Data ]],MATCH(B9,Tabela4[Mercadoria],0),1),"")</f>
        <v>42189</v>
      </c>
      <c r="D9" s="32">
        <v>0</v>
      </c>
      <c r="E9">
        <f>SUMIF(Tabela4[Mercadoria],Tabela6[[#This Row],[Produto]],Tabela4[Quantidade])</f>
        <v>450</v>
      </c>
      <c r="F9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100</v>
      </c>
      <c r="G9">
        <f>Tabela6[[#This Row],[Quantidade Inicial]]+Tabela6[[#This Row],[Quantidade Comprada]]-Tabela6[[#This Row],[Quantidade Vendida]]</f>
        <v>350</v>
      </c>
      <c r="H9" t="str">
        <f>IF(Tabela6[[#This Row],[Quantidade Atual]]&lt;50,IF(Tabela6[[#This Row],[Quantidade Atual]]&lt;21,"Comprar","Atenção"),"OK")</f>
        <v>OK</v>
      </c>
    </row>
    <row r="10" spans="1:8" x14ac:dyDescent="0.25">
      <c r="B10" s="25" t="s">
        <v>50</v>
      </c>
      <c r="C10" s="33">
        <f>IFERROR(INDEX(Tabela4[[Data ]],MATCH(B10,Tabela4[Mercadoria],0),1),"")</f>
        <v>42188</v>
      </c>
      <c r="D10" s="32">
        <v>0</v>
      </c>
      <c r="E10">
        <f>SUMIF(Tabela4[Mercadoria],Tabela6[[#This Row],[Produto]],Tabela4[Quantidade])</f>
        <v>100</v>
      </c>
      <c r="F10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120</v>
      </c>
      <c r="G10">
        <f>Tabela6[[#This Row],[Quantidade Inicial]]+Tabela6[[#This Row],[Quantidade Comprada]]-Tabela6[[#This Row],[Quantidade Vendida]]</f>
        <v>-20</v>
      </c>
      <c r="H10" t="str">
        <f>IF(Tabela6[[#This Row],[Quantidade Atual]]&lt;50,IF(Tabela6[[#This Row],[Quantidade Atual]]&lt;21,"Comprar","Atenção"),"OK")</f>
        <v>Comprar</v>
      </c>
    </row>
    <row r="11" spans="1:8" x14ac:dyDescent="0.25">
      <c r="B11" s="25" t="s">
        <v>66</v>
      </c>
      <c r="C11" s="33" t="str">
        <f>IFERROR(INDEX(Tabela4[[Data ]],MATCH(B11,Tabela4[Mercadoria],0),1),"")</f>
        <v/>
      </c>
      <c r="D11" s="32">
        <v>150</v>
      </c>
      <c r="E11">
        <f>SUMIF(Tabela4[Mercadoria],Tabela6[[#This Row],[Produto]],Tabela4[Quantidade])</f>
        <v>0</v>
      </c>
      <c r="F11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5</v>
      </c>
      <c r="G11">
        <f>Tabela6[[#This Row],[Quantidade Inicial]]+Tabela6[[#This Row],[Quantidade Comprada]]-Tabela6[[#This Row],[Quantidade Vendida]]</f>
        <v>145</v>
      </c>
      <c r="H11" t="str">
        <f>IF(Tabela6[[#This Row],[Quantidade Atual]]&lt;50,IF(Tabela6[[#This Row],[Quantidade Atual]]&lt;21,"Comprar","Atenção"),"OK")</f>
        <v>OK</v>
      </c>
    </row>
    <row r="12" spans="1:8" x14ac:dyDescent="0.25">
      <c r="B12" s="25" t="s">
        <v>67</v>
      </c>
      <c r="C12" s="33" t="str">
        <f>IFERROR(INDEX(Tabela4[[Data ]],MATCH(B12,Tabela4[Mercadoria],0),1),"")</f>
        <v/>
      </c>
      <c r="D12" s="32">
        <v>15</v>
      </c>
      <c r="E12">
        <f>SUMIF(Tabela4[Mercadoria],Tabela6[[#This Row],[Produto]],Tabela4[Quantidade])</f>
        <v>0</v>
      </c>
      <c r="F12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10</v>
      </c>
      <c r="G12">
        <f>Tabela6[[#This Row],[Quantidade Inicial]]+Tabela6[[#This Row],[Quantidade Comprada]]-Tabela6[[#This Row],[Quantidade Vendida]]</f>
        <v>5</v>
      </c>
      <c r="H12" t="str">
        <f>IF(Tabela6[[#This Row],[Quantidade Atual]]&lt;50,IF(Tabela6[[#This Row],[Quantidade Atual]]&lt;21,"Comprar","Atenção"),"OK")</f>
        <v>Comprar</v>
      </c>
    </row>
    <row r="13" spans="1:8" x14ac:dyDescent="0.25">
      <c r="B13" s="25" t="s">
        <v>49</v>
      </c>
      <c r="C13" s="33" t="str">
        <f>IFERROR(INDEX(Tabela4[[Data ]],MATCH(B13,Tabela4[Mercadoria],0),1),"")</f>
        <v/>
      </c>
      <c r="D13" s="32">
        <v>25</v>
      </c>
      <c r="E13">
        <f>SUMIF(Tabela4[Mercadoria],Tabela6[[#This Row],[Produto]],Tabela4[Quantidade])</f>
        <v>0</v>
      </c>
      <c r="F13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50</v>
      </c>
      <c r="G13">
        <f>Tabela6[[#This Row],[Quantidade Inicial]]+Tabela6[[#This Row],[Quantidade Comprada]]-Tabela6[[#This Row],[Quantidade Vendida]]</f>
        <v>-25</v>
      </c>
      <c r="H13" t="str">
        <f>IF(Tabela6[[#This Row],[Quantidade Atual]]&lt;50,IF(Tabela6[[#This Row],[Quantidade Atual]]&lt;21,"Comprar","Atenção"),"OK")</f>
        <v>Comprar</v>
      </c>
    </row>
    <row r="14" spans="1:8" x14ac:dyDescent="0.25">
      <c r="B14" s="25" t="s">
        <v>37</v>
      </c>
      <c r="C14" s="33">
        <f>IFERROR(INDEX(Tabela4[[Data ]],MATCH(B14,Tabela4[Mercadoria],0),1),"")</f>
        <v>42187</v>
      </c>
      <c r="D14" s="32">
        <v>0</v>
      </c>
      <c r="E14">
        <f>SUMIF(Tabela4[Mercadoria],Tabela6[[#This Row],[Produto]],Tabela4[Quantidade])</f>
        <v>150</v>
      </c>
      <c r="F14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30</v>
      </c>
      <c r="G14">
        <f>Tabela6[[#This Row],[Quantidade Inicial]]+Tabela6[[#This Row],[Quantidade Comprada]]-Tabela6[[#This Row],[Quantidade Vendida]]</f>
        <v>120</v>
      </c>
      <c r="H14" t="str">
        <f>IF(Tabela6[[#This Row],[Quantidade Atual]]&lt;50,IF(Tabela6[[#This Row],[Quantidade Atual]]&lt;21,"Comprar","Atenção"),"OK")</f>
        <v>OK</v>
      </c>
    </row>
    <row r="15" spans="1:8" x14ac:dyDescent="0.25">
      <c r="B15" s="25" t="s">
        <v>43</v>
      </c>
      <c r="C15" s="33">
        <f>IFERROR(INDEX(Tabela4[[Data ]],MATCH(B15,Tabela4[Mercadoria],0),1),"")</f>
        <v>42187</v>
      </c>
      <c r="D15" s="32">
        <v>0</v>
      </c>
      <c r="E15">
        <f>SUMIF(Tabela4[Mercadoria],Tabela6[[#This Row],[Produto]],Tabela4[Quantidade])</f>
        <v>150</v>
      </c>
      <c r="F15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20</v>
      </c>
      <c r="G15">
        <f>Tabela6[[#This Row],[Quantidade Inicial]]+Tabela6[[#This Row],[Quantidade Comprada]]-Tabela6[[#This Row],[Quantidade Vendida]]</f>
        <v>130</v>
      </c>
      <c r="H15" t="str">
        <f>IF(Tabela6[[#This Row],[Quantidade Atual]]&lt;50,IF(Tabela6[[#This Row],[Quantidade Atual]]&lt;21,"Comprar","Atenção"),"OK")</f>
        <v>OK</v>
      </c>
    </row>
    <row r="16" spans="1:8" x14ac:dyDescent="0.25">
      <c r="B16" s="25" t="s">
        <v>46</v>
      </c>
      <c r="C16" s="33">
        <f>IFERROR(INDEX(Tabela4[[Data ]],MATCH(B16,Tabela4[Mercadoria],0),1),"")</f>
        <v>42189</v>
      </c>
      <c r="D16" s="32">
        <v>30</v>
      </c>
      <c r="E16">
        <f>SUMIF(Tabela4[Mercadoria],Tabela6[[#This Row],[Produto]],Tabela4[Quantidade])</f>
        <v>300</v>
      </c>
      <c r="F16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25</v>
      </c>
      <c r="G16">
        <f>Tabela6[[#This Row],[Quantidade Inicial]]+Tabela6[[#This Row],[Quantidade Comprada]]-Tabela6[[#This Row],[Quantidade Vendida]]</f>
        <v>305</v>
      </c>
      <c r="H16" t="str">
        <f>IF(Tabela6[[#This Row],[Quantidade Atual]]&lt;50,IF(Tabela6[[#This Row],[Quantidade Atual]]&lt;21,"Comprar","Atenção"),"OK")</f>
        <v>OK</v>
      </c>
    </row>
    <row r="17" spans="2:8" x14ac:dyDescent="0.25">
      <c r="B17" s="25" t="s">
        <v>70</v>
      </c>
      <c r="C17" s="33">
        <f>IFERROR(INDEX(Tabela4[[Data ]],MATCH(B17,Tabela4[Mercadoria],0),1),"")</f>
        <v>42188</v>
      </c>
      <c r="D17" s="32">
        <v>0</v>
      </c>
      <c r="E17">
        <f>SUMIF(Tabela4[Mercadoria],Tabela6[[#This Row],[Produto]],Tabela4[Quantidade])</f>
        <v>100</v>
      </c>
      <c r="F17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10</v>
      </c>
      <c r="G17">
        <f>Tabela6[[#This Row],[Quantidade Inicial]]+Tabela6[[#This Row],[Quantidade Comprada]]-Tabela6[[#This Row],[Quantidade Vendida]]</f>
        <v>90</v>
      </c>
      <c r="H17" t="str">
        <f>IF(Tabela6[[#This Row],[Quantidade Atual]]&lt;50,IF(Tabela6[[#This Row],[Quantidade Atual]]&lt;21,"Comprar","Atenção"),"OK")</f>
        <v>OK</v>
      </c>
    </row>
    <row r="18" spans="2:8" x14ac:dyDescent="0.25">
      <c r="B18" s="25" t="s">
        <v>72</v>
      </c>
      <c r="C18" s="33">
        <f>IFERROR(INDEX(Tabela4[[Data ]],MATCH(B18,Tabela4[Mercadoria],0),1),"")</f>
        <v>42188</v>
      </c>
      <c r="D18" s="32">
        <v>0</v>
      </c>
      <c r="E18">
        <f>SUMIF(Tabela4[Mercadoria],Tabela6[[#This Row],[Produto]],Tabela4[Quantidade])</f>
        <v>100</v>
      </c>
      <c r="F18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7.5</v>
      </c>
      <c r="G18">
        <f>Tabela6[[#This Row],[Quantidade Inicial]]+Tabela6[[#This Row],[Quantidade Comprada]]-Tabela6[[#This Row],[Quantidade Vendida]]</f>
        <v>92.5</v>
      </c>
      <c r="H18" t="str">
        <f>IF(Tabela6[[#This Row],[Quantidade Atual]]&lt;50,IF(Tabela6[[#This Row],[Quantidade Atual]]&lt;21,"Comprar","Atenção"),"OK")</f>
        <v>OK</v>
      </c>
    </row>
    <row r="19" spans="2:8" x14ac:dyDescent="0.25">
      <c r="B19" s="25" t="s">
        <v>48</v>
      </c>
      <c r="C19" s="33">
        <f>IFERROR(INDEX(Tabela4[[Data ]],MATCH(B19,Tabela4[Mercadoria],0),1),"")</f>
        <v>42187</v>
      </c>
      <c r="D19" s="32">
        <v>0</v>
      </c>
      <c r="E19">
        <f>SUMIF(Tabela4[Mercadoria],Tabela6[[#This Row],[Produto]],Tabela4[Quantidade])</f>
        <v>100</v>
      </c>
      <c r="F19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20</v>
      </c>
      <c r="G19">
        <f>Tabela6[[#This Row],[Quantidade Inicial]]+Tabela6[[#This Row],[Quantidade Comprada]]-Tabela6[[#This Row],[Quantidade Vendida]]</f>
        <v>80</v>
      </c>
      <c r="H19" t="str">
        <f>IF(Tabela6[[#This Row],[Quantidade Atual]]&lt;50,IF(Tabela6[[#This Row],[Quantidade Atual]]&lt;21,"Comprar","Atenção"),"OK")</f>
        <v>OK</v>
      </c>
    </row>
    <row r="20" spans="2:8" x14ac:dyDescent="0.25">
      <c r="B20" s="25" t="s">
        <v>34</v>
      </c>
      <c r="C20" s="33">
        <f>IFERROR(INDEX(Tabela4[[Data ]],MATCH(B20,Tabela4[Mercadoria],0),1),"")</f>
        <v>42190</v>
      </c>
      <c r="D20" s="32">
        <v>0</v>
      </c>
      <c r="E20">
        <f>SUMIF(Tabela4[Mercadoria],Tabela6[[#This Row],[Produto]],Tabela4[Quantidade])</f>
        <v>570</v>
      </c>
      <c r="F20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100</v>
      </c>
      <c r="G20">
        <f>Tabela6[[#This Row],[Quantidade Inicial]]+Tabela6[[#This Row],[Quantidade Comprada]]-Tabela6[[#This Row],[Quantidade Vendida]]</f>
        <v>470</v>
      </c>
      <c r="H20" t="str">
        <f>IF(Tabela6[[#This Row],[Quantidade Atual]]&lt;50,IF(Tabela6[[#This Row],[Quantidade Atual]]&lt;21,"Comprar","Atenção"),"OK")</f>
        <v>OK</v>
      </c>
    </row>
    <row r="21" spans="2:8" x14ac:dyDescent="0.25">
      <c r="B21" s="25" t="s">
        <v>38</v>
      </c>
      <c r="C21" s="33">
        <f>IFERROR(INDEX(Tabela4[[Data ]],MATCH(B21,Tabela4[Mercadoria],0),1),"")</f>
        <v>42188</v>
      </c>
      <c r="D21" s="32">
        <v>39</v>
      </c>
      <c r="E21">
        <f>SUMIF(Tabela4[Mercadoria],Tabela6[[#This Row],[Produto]],Tabela4[Quantidade])</f>
        <v>110</v>
      </c>
      <c r="F21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100</v>
      </c>
      <c r="G21">
        <f>Tabela6[[#This Row],[Quantidade Inicial]]+Tabela6[[#This Row],[Quantidade Comprada]]-Tabela6[[#This Row],[Quantidade Vendida]]</f>
        <v>49</v>
      </c>
      <c r="H21" t="str">
        <f>IF(Tabela6[[#This Row],[Quantidade Atual]]&lt;50,IF(Tabela6[[#This Row],[Quantidade Atual]]&lt;21,"Comprar","Atenção"),"OK")</f>
        <v>Atenção</v>
      </c>
    </row>
    <row r="22" spans="2:8" x14ac:dyDescent="0.25">
      <c r="B22" s="25" t="s">
        <v>74</v>
      </c>
      <c r="C22" s="33">
        <f>IFERROR(INDEX(Tabela4[[Data ]],MATCH(B22,Tabela4[Mercadoria],0),1),"")</f>
        <v>42188</v>
      </c>
      <c r="D22" s="32">
        <v>0</v>
      </c>
      <c r="E22">
        <f>SUMIF(Tabela4[Mercadoria],Tabela6[[#This Row],[Produto]],Tabela4[Quantidade])</f>
        <v>300</v>
      </c>
      <c r="F22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30</v>
      </c>
      <c r="G22">
        <f>Tabela6[[#This Row],[Quantidade Inicial]]+Tabela6[[#This Row],[Quantidade Comprada]]-Tabela6[[#This Row],[Quantidade Vendida]]</f>
        <v>270</v>
      </c>
      <c r="H22" t="str">
        <f>IF(Tabela6[[#This Row],[Quantidade Atual]]&lt;50,IF(Tabela6[[#This Row],[Quantidade Atual]]&lt;21,"Comprar","Atenção"),"OK")</f>
        <v>OK</v>
      </c>
    </row>
    <row r="23" spans="2:8" x14ac:dyDescent="0.25">
      <c r="B23" s="25" t="s">
        <v>39</v>
      </c>
      <c r="C23" s="33">
        <f>IFERROR(INDEX(Tabela4[[Data ]],MATCH(B23,Tabela4[Mercadoria],0),1),"")</f>
        <v>42188</v>
      </c>
      <c r="D23" s="32">
        <v>0</v>
      </c>
      <c r="E23">
        <f>SUMIF(Tabela4[Mercadoria],Tabela6[[#This Row],[Produto]],Tabela4[Quantidade])</f>
        <v>50</v>
      </c>
      <c r="F23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60</v>
      </c>
      <c r="G23">
        <f>Tabela6[[#This Row],[Quantidade Inicial]]+Tabela6[[#This Row],[Quantidade Comprada]]-Tabela6[[#This Row],[Quantidade Vendida]]</f>
        <v>-10</v>
      </c>
      <c r="H23" t="str">
        <f>IF(Tabela6[[#This Row],[Quantidade Atual]]&lt;50,IF(Tabela6[[#This Row],[Quantidade Atual]]&lt;21,"Comprar","Atenção"),"OK")</f>
        <v>Comprar</v>
      </c>
    </row>
    <row r="24" spans="2:8" x14ac:dyDescent="0.25">
      <c r="B24" s="25" t="s">
        <v>40</v>
      </c>
      <c r="C24" s="33" t="str">
        <f>IFERROR(INDEX(Tabela4[[Data ]],MATCH(B24,Tabela4[Mercadoria],0),1),"")</f>
        <v/>
      </c>
      <c r="D24" s="32">
        <v>10</v>
      </c>
      <c r="E24">
        <f>SUMIF(Tabela4[Mercadoria],Tabela6[[#This Row],[Produto]],Tabela4[Quantidade])</f>
        <v>0</v>
      </c>
      <c r="F24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15</v>
      </c>
      <c r="G24">
        <f>Tabela6[[#This Row],[Quantidade Inicial]]+Tabela6[[#This Row],[Quantidade Comprada]]-Tabela6[[#This Row],[Quantidade Vendida]]</f>
        <v>-5</v>
      </c>
      <c r="H24" t="str">
        <f>IF(Tabela6[[#This Row],[Quantidade Atual]]&lt;50,IF(Tabela6[[#This Row],[Quantidade Atual]]&lt;21,"Comprar","Atenção"),"OK")</f>
        <v>Comprar</v>
      </c>
    </row>
    <row r="25" spans="2:8" x14ac:dyDescent="0.25">
      <c r="B25" s="25" t="s">
        <v>75</v>
      </c>
      <c r="C25" s="33" t="str">
        <f>IFERROR(INDEX(Tabela4[[Data ]],MATCH(B25,Tabela4[Mercadoria],0),1),"")</f>
        <v/>
      </c>
      <c r="D25" s="32">
        <v>100</v>
      </c>
      <c r="E25">
        <f>SUMIF(Tabela4[Mercadoria],Tabela6[[#This Row],[Produto]],Tabela4[Quantidade])</f>
        <v>0</v>
      </c>
      <c r="F25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10</v>
      </c>
      <c r="G25">
        <f>Tabela6[[#This Row],[Quantidade Inicial]]+Tabela6[[#This Row],[Quantidade Comprada]]-Tabela6[[#This Row],[Quantidade Vendida]]</f>
        <v>90</v>
      </c>
      <c r="H25" t="str">
        <f>IF(Tabela6[[#This Row],[Quantidade Atual]]&lt;50,IF(Tabela6[[#This Row],[Quantidade Atual]]&lt;21,"Comprar","Atenção"),"OK")</f>
        <v>OK</v>
      </c>
    </row>
    <row r="26" spans="2:8" x14ac:dyDescent="0.25">
      <c r="B26" s="25" t="s">
        <v>42</v>
      </c>
      <c r="C26" s="33">
        <f>IFERROR(INDEX(Tabela4[[Data ]],MATCH(B26,Tabela4[Mercadoria],0),1),"")</f>
        <v>42189</v>
      </c>
      <c r="D26" s="32">
        <v>0</v>
      </c>
      <c r="E26">
        <f>SUMIF(Tabela4[Mercadoria],Tabela6[[#This Row],[Produto]],Tabela4[Quantidade])</f>
        <v>200</v>
      </c>
      <c r="F26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25</v>
      </c>
      <c r="G26">
        <f>Tabela6[[#This Row],[Quantidade Inicial]]+Tabela6[[#This Row],[Quantidade Comprada]]-Tabela6[[#This Row],[Quantidade Vendida]]</f>
        <v>175</v>
      </c>
      <c r="H26" t="str">
        <f>IF(Tabela6[[#This Row],[Quantidade Atual]]&lt;50,IF(Tabela6[[#This Row],[Quantidade Atual]]&lt;21,"Comprar","Atenção"),"OK")</f>
        <v>OK</v>
      </c>
    </row>
    <row r="27" spans="2:8" x14ac:dyDescent="0.25">
      <c r="B27" s="25" t="s">
        <v>35</v>
      </c>
      <c r="C27" s="33" t="str">
        <f>IFERROR(INDEX(Tabela4[[Data ]],MATCH(B27,Tabela4[Mercadoria],0),1),"")</f>
        <v/>
      </c>
      <c r="D27" s="32">
        <v>30</v>
      </c>
      <c r="E27">
        <f>SUMIF(Tabela4[Mercadoria],Tabela6[[#This Row],[Produto]],Tabela4[Quantidade])</f>
        <v>0</v>
      </c>
      <c r="F27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30</v>
      </c>
      <c r="G27">
        <f>Tabela6[[#This Row],[Quantidade Inicial]]+Tabela6[[#This Row],[Quantidade Comprada]]-Tabela6[[#This Row],[Quantidade Vendida]]</f>
        <v>0</v>
      </c>
      <c r="H27" t="str">
        <f>IF(Tabela6[[#This Row],[Quantidade Atual]]&lt;50,IF(Tabela6[[#This Row],[Quantidade Atual]]&lt;21,"Comprar","Atenção"),"OK")</f>
        <v>Comprar</v>
      </c>
    </row>
    <row r="28" spans="2:8" x14ac:dyDescent="0.25">
      <c r="B28" s="25" t="s">
        <v>44</v>
      </c>
      <c r="C28" s="33" t="str">
        <f>IFERROR(INDEX(Tabela4[[Data ]],MATCH(B28,Tabela4[Mercadoria],0),1),"")</f>
        <v/>
      </c>
      <c r="D28" s="32">
        <v>50</v>
      </c>
      <c r="E28">
        <f>SUMIF(Tabela4[Mercadoria],Tabela6[[#This Row],[Produto]],Tabela4[Quantidade])</f>
        <v>0</v>
      </c>
      <c r="F28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5</v>
      </c>
      <c r="G28">
        <f>Tabela6[[#This Row],[Quantidade Inicial]]+Tabela6[[#This Row],[Quantidade Comprada]]-Tabela6[[#This Row],[Quantidade Vendida]]</f>
        <v>45</v>
      </c>
      <c r="H28" t="str">
        <f>IF(Tabela6[[#This Row],[Quantidade Atual]]&lt;50,IF(Tabela6[[#This Row],[Quantidade Atual]]&lt;21,"Comprar","Atenção"),"OK")</f>
        <v>Atenção</v>
      </c>
    </row>
    <row r="29" spans="2:8" x14ac:dyDescent="0.25">
      <c r="B29" s="25" t="s">
        <v>41</v>
      </c>
      <c r="C29" s="33">
        <f>IFERROR(INDEX(Tabela4[[Data ]],MATCH(B29,Tabela4[Mercadoria],0),1),"")</f>
        <v>42187</v>
      </c>
      <c r="D29" s="32">
        <v>0</v>
      </c>
      <c r="E29">
        <f>SUMIF(Tabela4[Mercadoria],Tabela6[[#This Row],[Produto]],Tabela4[Quantidade])</f>
        <v>80</v>
      </c>
      <c r="F29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10</v>
      </c>
      <c r="G29">
        <f>Tabela6[[#This Row],[Quantidade Inicial]]+Tabela6[[#This Row],[Quantidade Comprada]]-Tabela6[[#This Row],[Quantidade Vendida]]</f>
        <v>70</v>
      </c>
      <c r="H29" t="str">
        <f>IF(Tabela6[[#This Row],[Quantidade Atual]]&lt;50,IF(Tabela6[[#This Row],[Quantidade Atual]]&lt;21,"Comprar","Atenção"),"OK")</f>
        <v>OK</v>
      </c>
    </row>
    <row r="30" spans="2:8" x14ac:dyDescent="0.25">
      <c r="B30" s="25" t="s">
        <v>47</v>
      </c>
      <c r="C30" s="33" t="str">
        <f>IFERROR(INDEX(Tabela4[[Data ]],MATCH(B30,Tabela4[Mercadoria],0),1),"")</f>
        <v/>
      </c>
      <c r="D30" s="32">
        <v>20</v>
      </c>
      <c r="E30">
        <f>SUMIF(Tabela4[Mercadoria],Tabela6[[#This Row],[Produto]],Tabela4[Quantidade])</f>
        <v>0</v>
      </c>
      <c r="F30">
        <f>SUMIF(Tabela79[Produtos],Tabela6[[#This Row],[Produto]],Tabela79[Quantidade])++SUMIF(Tabela711[Produtos],Tabela6[[#This Row],[Produto]],Tabela711[Quantidade])+SUMIF(Tabela710[Produtos],Tabela6[[#This Row],[Produto]],Tabela710[Quantidade])+SUMIF(Tabela712[Produtos],Tabela6[[#This Row],[Produto]],Tabela712[Quantidade])+SUMIF(Tabela713[Produtos],Tabela6[[#This Row],[Produto]],Tabela713[Quantidade])</f>
        <v>15</v>
      </c>
      <c r="G30">
        <f>Tabela6[[#This Row],[Quantidade Inicial]]+Tabela6[[#This Row],[Quantidade Comprada]]-Tabela6[[#This Row],[Quantidade Vendida]]</f>
        <v>5</v>
      </c>
      <c r="H30" t="str">
        <f>IF(Tabela6[[#This Row],[Quantidade Atual]]&lt;50,IF(Tabela6[[#This Row],[Quantidade Atual]]&lt;21,"Comprar","Atenção"),"OK")</f>
        <v>Comprar</v>
      </c>
    </row>
  </sheetData>
  <conditionalFormatting sqref="H7:H30">
    <cfRule type="containsText" dxfId="2" priority="1" operator="containsText" text="Atenção">
      <formula>NOT(ISERROR(SEARCH("Atenção",H7)))</formula>
    </cfRule>
    <cfRule type="containsText" dxfId="1" priority="2" operator="containsText" text="Comprar">
      <formula>NOT(ISERROR(SEARCH("Comprar",H7)))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AAB10-97F3-4F76-A07F-864DF70CFF28}">
  <sheetPr codeName="Planilha6"/>
  <dimension ref="B1:F26"/>
  <sheetViews>
    <sheetView showGridLines="0" workbookViewId="0"/>
  </sheetViews>
  <sheetFormatPr defaultRowHeight="15" x14ac:dyDescent="0.25"/>
  <cols>
    <col min="4" max="4" width="22.140625" customWidth="1"/>
    <col min="5" max="5" width="39" customWidth="1"/>
    <col min="6" max="6" width="42.42578125" customWidth="1"/>
  </cols>
  <sheetData>
    <row r="1" spans="2:6" s="1" customFormat="1" ht="40.5" customHeight="1" x14ac:dyDescent="0.35">
      <c r="B1" s="5" t="s">
        <v>145</v>
      </c>
    </row>
    <row r="2" spans="2:6" s="1" customFormat="1" ht="12.75" customHeight="1" x14ac:dyDescent="0.2"/>
    <row r="5" spans="2:6" ht="15.75" x14ac:dyDescent="0.25">
      <c r="D5" s="82" t="s">
        <v>146</v>
      </c>
      <c r="E5" s="82"/>
      <c r="F5" s="72">
        <f>SUM(F6:F7)</f>
        <v>32881.692499999997</v>
      </c>
    </row>
    <row r="6" spans="2:6" ht="15.75" x14ac:dyDescent="0.25">
      <c r="D6" s="79"/>
      <c r="E6" s="82" t="s">
        <v>147</v>
      </c>
      <c r="F6" s="72">
        <f>Vendas!E17-Resultados!F7</f>
        <v>3742.3625000000029</v>
      </c>
    </row>
    <row r="7" spans="2:6" ht="15.75" x14ac:dyDescent="0.25">
      <c r="D7" s="79"/>
      <c r="E7" s="83" t="s">
        <v>148</v>
      </c>
      <c r="F7" s="71">
        <f>Vendas!E32</f>
        <v>29139.329999999994</v>
      </c>
    </row>
    <row r="8" spans="2:6" ht="15.75" x14ac:dyDescent="0.25">
      <c r="D8" s="79"/>
      <c r="E8" s="79"/>
      <c r="F8" s="84"/>
    </row>
    <row r="9" spans="2:6" ht="15.75" x14ac:dyDescent="0.25">
      <c r="D9" s="79" t="s">
        <v>149</v>
      </c>
      <c r="E9" s="79"/>
      <c r="F9" s="84">
        <f>0.15*F5</f>
        <v>4932.2538749999994</v>
      </c>
    </row>
    <row r="10" spans="2:6" ht="16.5" thickBot="1" x14ac:dyDescent="0.3">
      <c r="D10" s="80" t="s">
        <v>150</v>
      </c>
      <c r="E10" s="80"/>
      <c r="F10" s="85">
        <f>F5-F9</f>
        <v>27949.438624999999</v>
      </c>
    </row>
    <row r="11" spans="2:6" ht="16.5" thickTop="1" x14ac:dyDescent="0.25">
      <c r="D11" s="79"/>
      <c r="E11" s="79"/>
      <c r="F11" s="84"/>
    </row>
    <row r="12" spans="2:6" ht="15.75" x14ac:dyDescent="0.25">
      <c r="D12" s="82" t="s">
        <v>151</v>
      </c>
      <c r="E12" s="82"/>
      <c r="F12" s="72">
        <f>SUM(F13:F14)</f>
        <v>59296.619999999995</v>
      </c>
    </row>
    <row r="13" spans="2:6" ht="15.75" x14ac:dyDescent="0.25">
      <c r="D13" s="79"/>
      <c r="E13" s="82" t="s">
        <v>152</v>
      </c>
      <c r="F13" s="72">
        <f>Mercadorias!I27</f>
        <v>13889.619999999999</v>
      </c>
    </row>
    <row r="14" spans="2:6" ht="15.75" x14ac:dyDescent="0.25">
      <c r="D14" s="79"/>
      <c r="E14" s="83" t="s">
        <v>29</v>
      </c>
      <c r="F14" s="71">
        <f>Despesas!F31</f>
        <v>45407</v>
      </c>
    </row>
    <row r="15" spans="2:6" ht="16.5" thickBot="1" x14ac:dyDescent="0.3">
      <c r="D15" s="80"/>
      <c r="E15" s="80"/>
      <c r="F15" s="85"/>
    </row>
    <row r="16" spans="2:6" ht="17.25" thickTop="1" thickBot="1" x14ac:dyDescent="0.3">
      <c r="D16" s="81" t="s">
        <v>153</v>
      </c>
      <c r="E16" s="81"/>
      <c r="F16" s="86">
        <f>F5-F12</f>
        <v>-26414.927499999998</v>
      </c>
    </row>
    <row r="17" spans="4:6" ht="16.5" thickTop="1" x14ac:dyDescent="0.25">
      <c r="D17" s="79"/>
      <c r="E17" s="79"/>
      <c r="F17" s="84"/>
    </row>
    <row r="18" spans="4:6" ht="15.75" x14ac:dyDescent="0.25">
      <c r="D18" s="79" t="s">
        <v>89</v>
      </c>
      <c r="E18" s="79"/>
      <c r="F18" s="84">
        <f>Investimento!E15</f>
        <v>505500</v>
      </c>
    </row>
    <row r="19" spans="4:6" ht="15.75" x14ac:dyDescent="0.25">
      <c r="D19" s="79"/>
      <c r="E19" s="79"/>
      <c r="F19" s="84"/>
    </row>
    <row r="20" spans="4:6" ht="15.75" x14ac:dyDescent="0.25">
      <c r="D20" s="79" t="s">
        <v>154</v>
      </c>
      <c r="E20" s="79"/>
      <c r="F20" s="84">
        <v>25000</v>
      </c>
    </row>
    <row r="21" spans="4:6" ht="15.75" x14ac:dyDescent="0.25">
      <c r="D21" s="79"/>
      <c r="E21" s="79"/>
      <c r="F21" s="84"/>
    </row>
    <row r="22" spans="4:6" ht="16.5" thickBot="1" x14ac:dyDescent="0.3">
      <c r="D22" s="80" t="s">
        <v>155</v>
      </c>
      <c r="E22" s="80"/>
      <c r="F22" s="85">
        <f>F16-F18-F20</f>
        <v>-556914.92749999999</v>
      </c>
    </row>
    <row r="23" spans="4:6" ht="16.5" thickTop="1" x14ac:dyDescent="0.25">
      <c r="D23" s="79"/>
      <c r="E23" s="79"/>
      <c r="F23" s="84"/>
    </row>
    <row r="24" spans="4:6" ht="15.75" x14ac:dyDescent="0.25">
      <c r="D24" s="79" t="s">
        <v>22</v>
      </c>
      <c r="E24" s="79"/>
      <c r="F24" s="84">
        <f>IF(F22&gt;0,0.3-F22,0)</f>
        <v>0</v>
      </c>
    </row>
    <row r="25" spans="4:6" ht="15.75" x14ac:dyDescent="0.25">
      <c r="D25" s="79"/>
      <c r="E25" s="79"/>
      <c r="F25" s="84"/>
    </row>
    <row r="26" spans="4:6" ht="16.5" thickBot="1" x14ac:dyDescent="0.3">
      <c r="D26" s="80" t="s">
        <v>156</v>
      </c>
      <c r="E26" s="80"/>
      <c r="F26" s="85">
        <f>F22-F24</f>
        <v>-556914.92749999999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7567C-4EEB-4A31-832B-4436CC403315}">
  <sheetPr codeName="Planilha7"/>
  <dimension ref="A1:N63"/>
  <sheetViews>
    <sheetView showGridLines="0" topLeftCell="A10" workbookViewId="0">
      <selection activeCell="B74" sqref="B74"/>
    </sheetView>
  </sheetViews>
  <sheetFormatPr defaultRowHeight="15" x14ac:dyDescent="0.25"/>
  <cols>
    <col min="1" max="1" width="3.5703125" customWidth="1"/>
    <col min="2" max="2" width="14.28515625" customWidth="1"/>
    <col min="3" max="3" width="13.5703125" customWidth="1"/>
    <col min="4" max="4" width="27.42578125" customWidth="1"/>
    <col min="5" max="5" width="23.85546875" customWidth="1"/>
    <col min="6" max="6" width="19.42578125" customWidth="1"/>
    <col min="7" max="7" width="13.5703125" customWidth="1"/>
    <col min="8" max="8" width="15.7109375" customWidth="1"/>
    <col min="9" max="9" width="10.85546875" customWidth="1"/>
    <col min="10" max="10" width="11.7109375" customWidth="1"/>
    <col min="11" max="11" width="17.5703125" customWidth="1"/>
    <col min="12" max="12" width="13.28515625" customWidth="1"/>
    <col min="13" max="13" width="14.42578125" customWidth="1"/>
  </cols>
  <sheetData>
    <row r="1" spans="1:13" s="1" customFormat="1" ht="40.5" customHeight="1" x14ac:dyDescent="0.35">
      <c r="B1" s="5" t="s">
        <v>130</v>
      </c>
    </row>
    <row r="2" spans="1:13" s="1" customFormat="1" ht="12.75" customHeight="1" x14ac:dyDescent="0.2"/>
    <row r="3" spans="1:13" ht="12.75" customHeight="1" x14ac:dyDescent="0.25"/>
    <row r="4" spans="1:13" ht="27" thickBot="1" x14ac:dyDescent="0.3">
      <c r="K4" s="50" t="s">
        <v>141</v>
      </c>
    </row>
    <row r="5" spans="1:13" ht="15.75" thickBot="1" x14ac:dyDescent="0.3">
      <c r="C5" s="41"/>
      <c r="D5" s="41"/>
      <c r="J5" s="41"/>
      <c r="K5" s="41"/>
    </row>
    <row r="6" spans="1:13" x14ac:dyDescent="0.25">
      <c r="B6" s="42"/>
      <c r="C6" s="43"/>
      <c r="D6" s="43"/>
      <c r="E6" s="43"/>
      <c r="F6" s="43"/>
      <c r="G6" s="43"/>
      <c r="H6" s="43"/>
      <c r="I6" s="43"/>
      <c r="J6" s="43"/>
      <c r="K6" s="43"/>
      <c r="L6" s="44"/>
    </row>
    <row r="7" spans="1:13" ht="12" customHeight="1" x14ac:dyDescent="0.25">
      <c r="A7" s="41"/>
      <c r="B7" s="45"/>
      <c r="C7" s="41"/>
      <c r="D7" s="41"/>
      <c r="E7" s="41"/>
      <c r="F7" s="41"/>
      <c r="G7" s="41"/>
      <c r="H7" s="41"/>
      <c r="I7" s="41"/>
      <c r="J7" s="41"/>
      <c r="K7" s="41"/>
      <c r="L7" s="46"/>
    </row>
    <row r="8" spans="1:13" ht="24" customHeight="1" x14ac:dyDescent="0.35">
      <c r="B8" s="45"/>
      <c r="C8" s="69" t="s">
        <v>143</v>
      </c>
      <c r="D8" s="69"/>
      <c r="E8" s="41"/>
      <c r="F8" s="41"/>
      <c r="G8" s="41"/>
      <c r="H8" s="41"/>
      <c r="I8" s="41"/>
      <c r="J8" s="41"/>
      <c r="K8" s="41"/>
      <c r="L8" s="46"/>
      <c r="M8" s="41"/>
    </row>
    <row r="9" spans="1:13" x14ac:dyDescent="0.25">
      <c r="B9" s="45"/>
      <c r="C9" s="41"/>
      <c r="G9" s="51"/>
      <c r="H9" s="41"/>
      <c r="I9" s="41"/>
      <c r="J9" s="41"/>
      <c r="K9" s="41"/>
      <c r="L9" s="46"/>
      <c r="M9" s="41"/>
    </row>
    <row r="10" spans="1:13" x14ac:dyDescent="0.25">
      <c r="A10" s="41"/>
      <c r="B10" s="45"/>
      <c r="C10" s="41"/>
      <c r="G10" s="41"/>
      <c r="H10" s="41"/>
      <c r="I10" s="41"/>
      <c r="J10" s="41"/>
      <c r="K10" s="41"/>
      <c r="L10" s="46"/>
      <c r="M10" s="41"/>
    </row>
    <row r="11" spans="1:13" ht="19.5" thickBot="1" x14ac:dyDescent="0.35">
      <c r="A11" s="41"/>
      <c r="B11" s="45"/>
      <c r="C11" s="54" t="s">
        <v>131</v>
      </c>
      <c r="D11" s="54"/>
      <c r="E11" s="52">
        <f>'Semana 1'!M34</f>
        <v>6576.3384999999989</v>
      </c>
      <c r="G11" s="41"/>
      <c r="H11" s="41"/>
      <c r="I11" s="41"/>
      <c r="J11" s="41"/>
      <c r="K11" s="41"/>
      <c r="L11" s="46"/>
    </row>
    <row r="12" spans="1:13" ht="19.5" thickBot="1" x14ac:dyDescent="0.35">
      <c r="A12" s="41"/>
      <c r="B12" s="45"/>
      <c r="C12" s="55" t="s">
        <v>132</v>
      </c>
      <c r="D12" s="55"/>
      <c r="E12" s="52">
        <f>'Semana 2'!M34</f>
        <v>6576.3384999999989</v>
      </c>
      <c r="G12" s="41"/>
      <c r="H12" s="41"/>
      <c r="I12" s="41"/>
      <c r="J12" s="41"/>
      <c r="K12" s="41"/>
      <c r="L12" s="46"/>
    </row>
    <row r="13" spans="1:13" ht="19.5" thickBot="1" x14ac:dyDescent="0.35">
      <c r="A13" s="41"/>
      <c r="B13" s="45"/>
      <c r="C13" s="55" t="s">
        <v>133</v>
      </c>
      <c r="D13" s="55"/>
      <c r="E13" s="52">
        <f>'Semana 3'!M34</f>
        <v>6576.3384999999989</v>
      </c>
      <c r="G13" s="41"/>
      <c r="H13" s="41"/>
      <c r="I13" s="41"/>
      <c r="J13" s="41"/>
      <c r="K13" s="41"/>
      <c r="L13" s="46"/>
    </row>
    <row r="14" spans="1:13" ht="19.5" thickBot="1" x14ac:dyDescent="0.35">
      <c r="A14" s="41"/>
      <c r="B14" s="45"/>
      <c r="C14" s="55" t="s">
        <v>134</v>
      </c>
      <c r="D14" s="55"/>
      <c r="E14" s="52">
        <f>'Semana 4'!M34</f>
        <v>6576.3384999999989</v>
      </c>
      <c r="G14" s="41"/>
      <c r="H14" s="41"/>
      <c r="I14" s="41"/>
      <c r="J14" s="41"/>
      <c r="K14" s="41"/>
      <c r="L14" s="46"/>
      <c r="M14" s="41"/>
    </row>
    <row r="15" spans="1:13" ht="19.5" thickBot="1" x14ac:dyDescent="0.35">
      <c r="B15" s="45"/>
      <c r="C15" s="55" t="s">
        <v>135</v>
      </c>
      <c r="D15" s="55"/>
      <c r="E15" s="52">
        <f>'Semana 5'!M34</f>
        <v>6576.3384999999989</v>
      </c>
      <c r="G15" s="41"/>
      <c r="H15" s="41"/>
      <c r="I15" s="41"/>
      <c r="J15" s="41"/>
      <c r="K15" s="41"/>
      <c r="L15" s="46"/>
    </row>
    <row r="16" spans="1:13" x14ac:dyDescent="0.25">
      <c r="B16" s="45"/>
      <c r="C16" s="41"/>
      <c r="D16" s="41"/>
      <c r="E16" s="41"/>
      <c r="G16" s="41"/>
      <c r="H16" s="41"/>
      <c r="I16" s="41"/>
      <c r="J16" s="41"/>
      <c r="K16" s="41"/>
      <c r="L16" s="46"/>
      <c r="M16" s="41"/>
    </row>
    <row r="17" spans="1:13" ht="21" x14ac:dyDescent="0.35">
      <c r="A17" s="41"/>
      <c r="B17" s="45"/>
      <c r="C17" s="53" t="str">
        <f>"Total de vendas mês de "&amp;K4</f>
        <v>Total de vendas mês de Julho</v>
      </c>
      <c r="D17" s="53"/>
      <c r="E17" s="68">
        <f>SUM(E11:E15)</f>
        <v>32881.692499999997</v>
      </c>
      <c r="F17" s="67"/>
      <c r="G17" s="41"/>
      <c r="H17" s="41"/>
      <c r="I17" s="41"/>
      <c r="J17" s="41"/>
      <c r="K17" s="41"/>
      <c r="L17" s="46"/>
      <c r="M17" s="41"/>
    </row>
    <row r="18" spans="1:13" x14ac:dyDescent="0.25">
      <c r="A18" s="41"/>
      <c r="B18" s="45"/>
      <c r="C18" s="41"/>
      <c r="D18" s="41"/>
      <c r="E18" s="66"/>
      <c r="F18" s="41"/>
      <c r="G18" s="41"/>
      <c r="H18" s="41"/>
      <c r="I18" s="41"/>
      <c r="J18" s="41"/>
      <c r="K18" s="41"/>
      <c r="L18" s="46"/>
      <c r="M18" s="41"/>
    </row>
    <row r="19" spans="1:13" x14ac:dyDescent="0.25">
      <c r="B19" s="45"/>
      <c r="C19" s="41"/>
      <c r="D19" s="41"/>
      <c r="E19" s="41"/>
      <c r="F19" s="41"/>
      <c r="G19" s="41"/>
      <c r="H19" s="41"/>
      <c r="I19" s="41"/>
      <c r="J19" s="41"/>
      <c r="K19" s="41"/>
      <c r="L19" s="46"/>
      <c r="M19" s="41"/>
    </row>
    <row r="20" spans="1:13" x14ac:dyDescent="0.25">
      <c r="B20" s="45"/>
      <c r="C20" s="41"/>
      <c r="D20" s="41"/>
      <c r="E20" s="41"/>
      <c r="F20" s="41"/>
      <c r="G20" s="41"/>
      <c r="H20" s="41"/>
      <c r="I20" s="41"/>
      <c r="J20" s="41"/>
      <c r="K20" s="41"/>
      <c r="L20" s="46"/>
    </row>
    <row r="21" spans="1:13" x14ac:dyDescent="0.25">
      <c r="B21" s="45"/>
      <c r="C21" s="41"/>
      <c r="D21" s="41"/>
      <c r="E21" s="41"/>
      <c r="F21" s="41"/>
      <c r="G21" s="41"/>
      <c r="H21" s="41"/>
      <c r="I21" s="41"/>
      <c r="J21" s="41"/>
      <c r="K21" s="41"/>
      <c r="L21" s="46"/>
    </row>
    <row r="22" spans="1:13" ht="15.75" thickBot="1" x14ac:dyDescent="0.3">
      <c r="B22" s="47"/>
      <c r="C22" s="48"/>
      <c r="D22" s="48"/>
      <c r="E22" s="48"/>
      <c r="F22" s="48"/>
      <c r="G22" s="48"/>
      <c r="H22" s="48"/>
      <c r="I22" s="48"/>
      <c r="J22" s="48"/>
      <c r="K22" s="48"/>
      <c r="L22" s="49"/>
      <c r="M22" s="41"/>
    </row>
    <row r="23" spans="1:13" x14ac:dyDescent="0.25">
      <c r="B23" s="41"/>
      <c r="C23" s="41"/>
      <c r="D23" s="41"/>
      <c r="H23" s="41"/>
      <c r="I23" s="41"/>
      <c r="J23" s="41"/>
      <c r="L23" s="41"/>
    </row>
    <row r="25" spans="1:13" ht="15.75" thickBot="1" x14ac:dyDescent="0.3"/>
    <row r="26" spans="1:13" x14ac:dyDescent="0.25">
      <c r="A26" s="38"/>
      <c r="B26" s="42"/>
      <c r="C26" s="43"/>
      <c r="D26" s="43"/>
      <c r="E26" s="43"/>
      <c r="F26" s="43"/>
      <c r="G26" s="43"/>
      <c r="H26" s="43"/>
      <c r="I26" s="43"/>
      <c r="J26" s="43"/>
      <c r="K26" s="43"/>
      <c r="L26" s="44"/>
    </row>
    <row r="27" spans="1:13" x14ac:dyDescent="0.25">
      <c r="A27" s="41"/>
      <c r="B27" s="45"/>
      <c r="C27" s="41"/>
      <c r="D27" s="41"/>
      <c r="E27" s="41"/>
      <c r="F27" s="41"/>
      <c r="G27" s="41"/>
      <c r="H27" s="41"/>
      <c r="I27" s="41"/>
      <c r="J27" s="41"/>
      <c r="K27" s="41"/>
      <c r="L27" s="46"/>
    </row>
    <row r="28" spans="1:13" x14ac:dyDescent="0.25">
      <c r="A28" s="38"/>
      <c r="B28" s="45"/>
      <c r="C28" s="41"/>
      <c r="D28" s="41"/>
      <c r="E28" s="41"/>
      <c r="F28" s="41"/>
      <c r="G28" s="41"/>
      <c r="H28" s="41"/>
      <c r="I28" s="41"/>
      <c r="J28" s="41"/>
      <c r="K28" s="41"/>
      <c r="L28" s="46"/>
    </row>
    <row r="29" spans="1:13" x14ac:dyDescent="0.25">
      <c r="A29" s="38"/>
      <c r="B29" s="45"/>
      <c r="C29" s="41"/>
      <c r="D29" s="38"/>
      <c r="E29" s="38"/>
      <c r="F29" s="38"/>
      <c r="G29" s="51"/>
      <c r="H29" s="41"/>
      <c r="I29" s="41"/>
      <c r="J29" s="41"/>
      <c r="K29" s="41"/>
      <c r="L29" s="46"/>
    </row>
    <row r="30" spans="1:13" x14ac:dyDescent="0.25">
      <c r="A30" s="41"/>
      <c r="B30" s="45"/>
      <c r="C30" s="41"/>
      <c r="D30" s="38"/>
      <c r="E30" s="38"/>
      <c r="F30" s="38"/>
      <c r="G30" s="41"/>
      <c r="H30" s="41"/>
      <c r="I30" s="41"/>
      <c r="J30" s="41"/>
      <c r="K30" s="41"/>
      <c r="L30" s="46"/>
    </row>
    <row r="31" spans="1:13" ht="19.5" thickBot="1" x14ac:dyDescent="0.35">
      <c r="A31" s="41"/>
      <c r="B31" s="45"/>
      <c r="C31" s="54" t="s">
        <v>136</v>
      </c>
      <c r="D31" s="54"/>
      <c r="E31" s="63">
        <f>SUM(COUNTIF(Tabela79[Valor da Entrega],"&gt;0"),COUNTIF(Tabela711[Valor da Entrega],"&gt;0"),COUNTIF(Tabela710[Valor da Entrega],"&gt;0"),COUNTIF(Tabela712[Valor da Entrega],"&gt;0"),COUNTIF(Tabela713[Valor da Entrega],"&gt;0"))/SUM('Semana 1'!M39,'Semana 2'!M39,'Semana 3'!M39,'Semana 4'!M39,'Semana 5'!M39)</f>
        <v>1.5384615384615385</v>
      </c>
      <c r="F31" s="38"/>
      <c r="G31" s="41"/>
      <c r="H31" s="41"/>
      <c r="I31" s="41"/>
      <c r="J31" s="41"/>
      <c r="K31" s="41"/>
      <c r="L31" s="46"/>
    </row>
    <row r="32" spans="1:13" ht="19.5" thickBot="1" x14ac:dyDescent="0.35">
      <c r="A32" s="41"/>
      <c r="B32" s="45"/>
      <c r="C32" s="55" t="s">
        <v>137</v>
      </c>
      <c r="D32" s="55"/>
      <c r="E32" s="52">
        <f>SUMIF(Tabela79[Valor da Entrega],"&gt;0",Tabela79[Total Cliente])+SUMIF(Tabela711[Valor da Entrega],"&gt;0",Tabela711[Total Cliente])+SUMIF(Tabela710[Valor da Entrega],"&gt;0",Tabela710[Total Cliente])+SUMIF(Tabela712[Valor da Entrega],"&gt;0",Tabela712[Total Cliente])+SUMIF(Tabela713[Valor da Entrega],"&gt;0",Tabela713[Total Cliente])</f>
        <v>29139.329999999994</v>
      </c>
      <c r="F32" s="38"/>
      <c r="G32" s="41"/>
      <c r="H32" s="41"/>
      <c r="I32" s="41"/>
      <c r="J32" s="41"/>
      <c r="K32" s="41"/>
      <c r="L32" s="46"/>
    </row>
    <row r="33" spans="1:14" ht="19.5" thickBot="1" x14ac:dyDescent="0.35">
      <c r="A33" s="41"/>
      <c r="B33" s="45"/>
      <c r="C33" s="55" t="s">
        <v>138</v>
      </c>
      <c r="D33" s="55"/>
      <c r="E33" s="52">
        <f>SUM('Semana 1'!M36:N37,'Semana 2'!M36:N37,'Semana 3'!M36:N37,'Semana 4'!M36:N37,'Semana 5'!M36:N37,)</f>
        <v>650</v>
      </c>
      <c r="F33" s="38"/>
      <c r="G33" s="41"/>
      <c r="H33" s="41"/>
      <c r="I33" s="41"/>
      <c r="J33" s="41"/>
      <c r="K33" s="41"/>
      <c r="L33" s="46"/>
    </row>
    <row r="34" spans="1:14" x14ac:dyDescent="0.25">
      <c r="A34" s="41"/>
      <c r="B34" s="45"/>
      <c r="F34" s="38"/>
      <c r="G34" s="41"/>
      <c r="H34" s="41"/>
      <c r="I34" s="41"/>
      <c r="J34" s="41"/>
      <c r="K34" s="41"/>
      <c r="L34" s="46"/>
    </row>
    <row r="35" spans="1:14" x14ac:dyDescent="0.25">
      <c r="A35" s="38"/>
      <c r="B35" s="45"/>
      <c r="F35" s="38"/>
      <c r="G35" s="41"/>
      <c r="H35" s="41"/>
      <c r="I35" s="41"/>
      <c r="J35" s="41"/>
      <c r="K35" s="41"/>
      <c r="L35" s="46"/>
    </row>
    <row r="36" spans="1:14" ht="15" customHeight="1" x14ac:dyDescent="0.25">
      <c r="A36" s="38"/>
      <c r="B36" s="45"/>
      <c r="C36" s="58" t="s">
        <v>140</v>
      </c>
      <c r="D36" s="58"/>
      <c r="E36" s="64">
        <f>SUM('Semana 1'!M34:N34,'Semana 2'!M34:N34,'Semana 3'!M34:N34,'Semana 4'!M34:N34,'Semana 5'!M34:N34,)/SUM('Semana 1'!M39:N40,'Semana 2'!M39:N40,'Semana 3'!M39:N40,'Semana 4'!M39:N40,'Semana 5'!M39:N40,)</f>
        <v>505.87219230769227</v>
      </c>
      <c r="F36" s="56"/>
      <c r="G36" s="56"/>
      <c r="H36" s="38"/>
      <c r="I36" s="38"/>
      <c r="J36" s="38"/>
      <c r="K36" s="38"/>
      <c r="L36" s="38"/>
      <c r="M36" s="59"/>
      <c r="N36" s="59"/>
    </row>
    <row r="37" spans="1:14" x14ac:dyDescent="0.25">
      <c r="A37" s="41"/>
      <c r="B37" s="45"/>
      <c r="C37" s="58"/>
      <c r="D37" s="58"/>
      <c r="E37" s="65"/>
      <c r="F37" s="56"/>
      <c r="G37" s="56"/>
      <c r="H37" s="38"/>
      <c r="I37" s="38"/>
      <c r="J37" s="38"/>
      <c r="K37" s="38"/>
      <c r="L37" s="38"/>
      <c r="M37" s="59"/>
      <c r="N37" s="59"/>
    </row>
    <row r="38" spans="1:14" x14ac:dyDescent="0.25">
      <c r="A38" s="41"/>
      <c r="B38" s="45"/>
      <c r="C38" s="41"/>
      <c r="D38" s="41"/>
      <c r="E38" s="41"/>
      <c r="F38" s="41"/>
      <c r="G38" s="41"/>
      <c r="H38" s="41"/>
      <c r="I38" s="41"/>
      <c r="J38" s="41"/>
      <c r="K38" s="41"/>
      <c r="L38" s="46"/>
    </row>
    <row r="39" spans="1:14" x14ac:dyDescent="0.25">
      <c r="A39" s="38"/>
      <c r="B39" s="45"/>
      <c r="C39" s="41"/>
      <c r="D39" s="41"/>
      <c r="E39" s="41"/>
      <c r="F39" s="41"/>
      <c r="G39" s="41"/>
      <c r="H39" s="41"/>
      <c r="I39" s="41"/>
      <c r="J39" s="41"/>
      <c r="K39" s="41"/>
      <c r="L39" s="46"/>
    </row>
    <row r="40" spans="1:14" x14ac:dyDescent="0.25">
      <c r="A40" s="38"/>
      <c r="B40" s="45"/>
      <c r="C40" s="41"/>
      <c r="D40" s="41"/>
      <c r="E40" s="41"/>
      <c r="F40" s="41"/>
      <c r="G40" s="41"/>
      <c r="H40" s="41"/>
      <c r="I40" s="41"/>
      <c r="J40" s="41"/>
      <c r="K40" s="41"/>
      <c r="L40" s="46"/>
    </row>
    <row r="41" spans="1:14" x14ac:dyDescent="0.25">
      <c r="A41" s="38"/>
      <c r="B41" s="45"/>
      <c r="C41" s="41"/>
      <c r="D41" s="41"/>
      <c r="E41" s="41"/>
      <c r="F41" s="41"/>
      <c r="G41" s="41"/>
      <c r="H41" s="41"/>
      <c r="I41" s="41"/>
      <c r="J41" s="41"/>
      <c r="K41" s="41"/>
      <c r="L41" s="46"/>
    </row>
    <row r="42" spans="1:14" ht="15.75" thickBot="1" x14ac:dyDescent="0.3">
      <c r="A42" s="38"/>
      <c r="B42" s="47"/>
      <c r="C42" s="48"/>
      <c r="D42" s="48"/>
      <c r="E42" s="48"/>
      <c r="F42" s="48"/>
      <c r="G42" s="48"/>
      <c r="H42" s="48"/>
      <c r="I42" s="48"/>
      <c r="J42" s="48"/>
      <c r="K42" s="48"/>
      <c r="L42" s="49"/>
    </row>
    <row r="45" spans="1:14" ht="15.75" thickBot="1" x14ac:dyDescent="0.3"/>
    <row r="46" spans="1:14" x14ac:dyDescent="0.25">
      <c r="B46" s="42"/>
      <c r="C46" s="43"/>
      <c r="D46" s="43"/>
      <c r="E46" s="43"/>
      <c r="F46" s="43"/>
      <c r="G46" s="43"/>
      <c r="H46" s="43"/>
      <c r="I46" s="43"/>
      <c r="J46" s="43"/>
      <c r="K46" s="43"/>
      <c r="L46" s="44"/>
    </row>
    <row r="47" spans="1:14" x14ac:dyDescent="0.25">
      <c r="B47" s="45"/>
      <c r="C47" s="41"/>
      <c r="D47" s="41"/>
      <c r="E47" s="41"/>
      <c r="F47" s="41"/>
      <c r="G47" s="41"/>
      <c r="H47" s="41"/>
      <c r="I47" s="41"/>
      <c r="J47" s="41"/>
      <c r="K47" s="41"/>
      <c r="L47" s="46"/>
    </row>
    <row r="48" spans="1:14" ht="21" x14ac:dyDescent="0.35">
      <c r="B48" s="45"/>
      <c r="C48" s="69" t="s">
        <v>142</v>
      </c>
      <c r="D48" s="69"/>
      <c r="E48" s="41"/>
      <c r="F48" s="41"/>
      <c r="G48" s="41"/>
      <c r="H48" s="41"/>
      <c r="I48" s="41"/>
      <c r="J48" s="41"/>
      <c r="K48" s="41"/>
      <c r="L48" s="46"/>
    </row>
    <row r="49" spans="2:12" x14ac:dyDescent="0.25">
      <c r="B49" s="45"/>
      <c r="C49" s="41"/>
      <c r="D49" s="38"/>
      <c r="E49" s="38"/>
      <c r="F49" s="38"/>
      <c r="G49" s="51"/>
      <c r="H49" s="41"/>
      <c r="I49" s="41"/>
      <c r="J49" s="41"/>
      <c r="K49" s="41"/>
      <c r="L49" s="46"/>
    </row>
    <row r="50" spans="2:12" s="38" customFormat="1" ht="15.75" x14ac:dyDescent="0.25">
      <c r="B50" s="45"/>
      <c r="C50" s="41"/>
      <c r="E50" s="70" t="s">
        <v>144</v>
      </c>
      <c r="G50" s="51"/>
      <c r="H50" s="41"/>
      <c r="I50" s="41"/>
      <c r="J50" s="41"/>
      <c r="K50" s="41"/>
      <c r="L50" s="46"/>
    </row>
    <row r="51" spans="2:12" x14ac:dyDescent="0.25">
      <c r="B51" s="45"/>
      <c r="C51" s="41"/>
      <c r="D51" s="38"/>
      <c r="E51" s="38"/>
      <c r="F51" s="38"/>
      <c r="G51" s="41"/>
      <c r="H51" s="41"/>
      <c r="I51" s="41"/>
      <c r="J51" s="41"/>
      <c r="K51" s="41"/>
      <c r="L51" s="46"/>
    </row>
    <row r="52" spans="2:12" ht="19.5" thickBot="1" x14ac:dyDescent="0.35">
      <c r="B52" s="45"/>
      <c r="D52" s="54" t="s">
        <v>120</v>
      </c>
      <c r="E52" s="57">
        <f>COUNTIFS(Tabela79[Entrega],Vendas!D52,Tabela79[Total Cliente],"&gt;0")+COUNTIFS(Tabela711[Entrega],Vendas!D52,Tabela711[Total Cliente],"&gt;0")+COUNTIFS(Tabela710[Entrega],Vendas!D52,Tabela710[Total Cliente],"&gt;0")+COUNTIFS(Tabela712[Entrega],Vendas!D52,Tabela712[Total Cliente],"&gt;0")+COUNTIFS(Tabela713[Entrega],Vendas!D52,Tabela713[Total Cliente],"&gt;0")</f>
        <v>20</v>
      </c>
      <c r="F52" s="38"/>
      <c r="G52" s="41"/>
      <c r="H52" s="41"/>
      <c r="I52" s="41"/>
      <c r="J52" s="41"/>
      <c r="K52" s="41"/>
      <c r="L52" s="46"/>
    </row>
    <row r="53" spans="2:12" ht="19.5" thickBot="1" x14ac:dyDescent="0.35">
      <c r="B53" s="45"/>
      <c r="D53" s="55" t="s">
        <v>119</v>
      </c>
      <c r="E53" s="57">
        <f>COUNTIFS(Tabela79[Entrega],Vendas!D53,Tabela79[Total Cliente],"&gt;0")+COUNTIFS(Tabela711[Entrega],Vendas!D53,Tabela711[Total Cliente],"&gt;0")+COUNTIFS(Tabela710[Entrega],Vendas!D53,Tabela710[Total Cliente],"&gt;0")+COUNTIFS(Tabela712[Entrega],Vendas!D53,Tabela712[Total Cliente],"&gt;0")+COUNTIFS(Tabela713[Entrega],Vendas!D53,Tabela713[Total Cliente],"&gt;0")</f>
        <v>15</v>
      </c>
      <c r="F53" s="38"/>
      <c r="G53" s="41"/>
      <c r="H53" s="41"/>
      <c r="I53" s="41"/>
      <c r="J53" s="41"/>
      <c r="K53" s="41"/>
      <c r="L53" s="46"/>
    </row>
    <row r="54" spans="2:12" ht="19.5" thickBot="1" x14ac:dyDescent="0.35">
      <c r="B54" s="45"/>
      <c r="D54" s="55" t="s">
        <v>121</v>
      </c>
      <c r="E54" s="57">
        <f>COUNTIFS(Tabela79[Entrega],Vendas!D54,Tabela79[Total Cliente],"&gt;0")+COUNTIFS(Tabela711[Entrega],Vendas!D54,Tabela711[Total Cliente],"&gt;0")+COUNTIFS(Tabela710[Entrega],Vendas!D54,Tabela710[Total Cliente],"&gt;0")+COUNTIFS(Tabela712[Entrega],Vendas!D54,Tabela712[Total Cliente],"&gt;0")+COUNTIFS(Tabela713[Entrega],Vendas!D54,Tabela713[Total Cliente],"&gt;0")</f>
        <v>10</v>
      </c>
      <c r="F54" s="38"/>
      <c r="G54" s="41"/>
      <c r="H54" s="41"/>
      <c r="I54" s="41"/>
      <c r="J54" s="41"/>
      <c r="K54" s="41"/>
      <c r="L54" s="46"/>
    </row>
    <row r="55" spans="2:12" ht="19.5" thickBot="1" x14ac:dyDescent="0.35">
      <c r="B55" s="45"/>
      <c r="D55" s="54" t="s">
        <v>122</v>
      </c>
      <c r="E55" s="57">
        <f>COUNTIFS(Tabela79[Entrega],Vendas!D55,Tabela79[Total Cliente],"&gt;0")+COUNTIFS(Tabela711[Entrega],Vendas!D55,Tabela711[Total Cliente],"&gt;0")+COUNTIFS(Tabela710[Entrega],Vendas!D55,Tabela710[Total Cliente],"&gt;0")+COUNTIFS(Tabela712[Entrega],Vendas!D55,Tabela712[Total Cliente],"&gt;0")+COUNTIFS(Tabela713[Entrega],Vendas!D55,Tabela713[Total Cliente],"&gt;0")</f>
        <v>15</v>
      </c>
      <c r="F55" s="38"/>
      <c r="G55" s="41"/>
      <c r="H55" s="41"/>
      <c r="I55" s="41"/>
      <c r="J55" s="41"/>
      <c r="K55" s="41"/>
      <c r="L55" s="46"/>
    </row>
    <row r="56" spans="2:12" ht="19.5" thickBot="1" x14ac:dyDescent="0.35">
      <c r="B56" s="45"/>
      <c r="D56" s="54" t="s">
        <v>123</v>
      </c>
      <c r="E56" s="57">
        <f>COUNTIFS(Tabela79[Entrega],Vendas!D56,Tabela79[Total Cliente],"&gt;0")+COUNTIFS(Tabela711[Entrega],Vendas!D56,Tabela711[Total Cliente],"&gt;0")+COUNTIFS(Tabela710[Entrega],Vendas!D56,Tabela710[Total Cliente],"&gt;0")+COUNTIFS(Tabela712[Entrega],Vendas!D56,Tabela712[Total Cliente],"&gt;0")+COUNTIFS(Tabela713[Entrega],Vendas!D56,Tabela713[Total Cliente],"&gt;0")</f>
        <v>5</v>
      </c>
      <c r="F56" s="38"/>
      <c r="G56" s="41"/>
      <c r="H56" s="41"/>
      <c r="I56" s="41"/>
      <c r="J56" s="41"/>
      <c r="K56" s="41"/>
      <c r="L56" s="46"/>
    </row>
    <row r="57" spans="2:12" x14ac:dyDescent="0.25">
      <c r="B57" s="45"/>
      <c r="F57" s="56"/>
      <c r="G57" s="56"/>
      <c r="H57" s="38"/>
      <c r="I57" s="38"/>
      <c r="J57" s="38"/>
      <c r="K57" s="38"/>
      <c r="L57" s="38"/>
    </row>
    <row r="58" spans="2:12" x14ac:dyDescent="0.25">
      <c r="B58" s="45"/>
      <c r="F58" s="56"/>
      <c r="G58" s="56"/>
      <c r="H58" s="38"/>
      <c r="I58" s="38"/>
      <c r="J58" s="38"/>
      <c r="K58" s="38"/>
      <c r="L58" s="38"/>
    </row>
    <row r="59" spans="2:12" x14ac:dyDescent="0.25">
      <c r="B59" s="45"/>
      <c r="C59" s="41"/>
      <c r="D59" s="41"/>
      <c r="E59" s="41"/>
      <c r="F59" s="41"/>
      <c r="G59" s="41"/>
      <c r="H59" s="41"/>
      <c r="I59" s="41"/>
      <c r="J59" s="41"/>
      <c r="K59" s="41"/>
      <c r="L59" s="46"/>
    </row>
    <row r="60" spans="2:12" x14ac:dyDescent="0.25">
      <c r="B60" s="45"/>
      <c r="C60" s="41"/>
      <c r="D60" s="41"/>
      <c r="E60" s="41"/>
      <c r="F60" s="41"/>
      <c r="G60" s="41"/>
      <c r="H60" s="41"/>
      <c r="I60" s="41"/>
      <c r="J60" s="41"/>
      <c r="K60" s="41"/>
      <c r="L60" s="46"/>
    </row>
    <row r="61" spans="2:12" x14ac:dyDescent="0.25">
      <c r="B61" s="45"/>
      <c r="C61" s="41"/>
      <c r="D61" s="41"/>
      <c r="E61" s="41"/>
      <c r="F61" s="41"/>
      <c r="G61" s="41"/>
      <c r="H61" s="41"/>
      <c r="I61" s="41"/>
      <c r="J61" s="41"/>
      <c r="K61" s="41"/>
      <c r="L61" s="46"/>
    </row>
    <row r="62" spans="2:12" x14ac:dyDescent="0.25">
      <c r="B62" s="45"/>
      <c r="C62" s="41"/>
      <c r="D62" s="41"/>
      <c r="E62" s="41"/>
      <c r="F62" s="41"/>
      <c r="G62" s="41"/>
      <c r="H62" s="41"/>
      <c r="I62" s="41"/>
      <c r="J62" s="41"/>
      <c r="K62" s="41"/>
      <c r="L62" s="46"/>
    </row>
    <row r="63" spans="2:12" ht="15.75" thickBot="1" x14ac:dyDescent="0.3">
      <c r="B63" s="47"/>
      <c r="C63" s="48"/>
      <c r="D63" s="48"/>
      <c r="E63" s="48"/>
      <c r="F63" s="48"/>
      <c r="G63" s="48"/>
      <c r="H63" s="48"/>
      <c r="I63" s="48"/>
      <c r="J63" s="48"/>
      <c r="K63" s="48"/>
      <c r="L63" s="49"/>
    </row>
  </sheetData>
  <mergeCells count="5">
    <mergeCell ref="C48:D48"/>
    <mergeCell ref="C8:D8"/>
    <mergeCell ref="C36:D37"/>
    <mergeCell ref="E36:E37"/>
    <mergeCell ref="M36:N3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2CE36-44A3-4086-A3F0-56F10797AFE1}">
  <sheetPr codeName="Planilha8"/>
  <dimension ref="B1:N40"/>
  <sheetViews>
    <sheetView showGridLines="0" topLeftCell="A28" workbookViewId="0">
      <selection activeCell="G9" sqref="G9"/>
    </sheetView>
  </sheetViews>
  <sheetFormatPr defaultRowHeight="15" x14ac:dyDescent="0.25"/>
  <cols>
    <col min="1" max="1" width="11.42578125" style="38" customWidth="1"/>
    <col min="2" max="2" width="14.28515625" style="38" customWidth="1"/>
    <col min="3" max="3" width="13.5703125" style="38" customWidth="1"/>
    <col min="4" max="4" width="15.85546875" style="38" customWidth="1"/>
    <col min="5" max="5" width="13.85546875" style="38" customWidth="1"/>
    <col min="6" max="6" width="10.5703125" style="38" customWidth="1"/>
    <col min="7" max="7" width="13.5703125" style="38" customWidth="1"/>
    <col min="8" max="8" width="15.7109375" style="38" customWidth="1"/>
    <col min="9" max="9" width="10.85546875" style="38" customWidth="1"/>
    <col min="10" max="10" width="11.42578125" style="38" customWidth="1"/>
    <col min="11" max="11" width="11.7109375" style="38" customWidth="1"/>
    <col min="12" max="12" width="17.5703125" style="38" customWidth="1"/>
    <col min="13" max="13" width="13.28515625" style="38" customWidth="1"/>
    <col min="14" max="14" width="14.42578125" style="38" customWidth="1"/>
    <col min="15" max="16384" width="9.140625" style="38"/>
  </cols>
  <sheetData>
    <row r="1" spans="2:14" s="1" customFormat="1" ht="40.5" customHeight="1" x14ac:dyDescent="0.35">
      <c r="B1" s="5" t="s">
        <v>157</v>
      </c>
    </row>
    <row r="2" spans="2:14" s="1" customFormat="1" ht="12.75" customHeight="1" x14ac:dyDescent="0.2"/>
    <row r="3" spans="2:14" ht="12.75" customHeight="1" x14ac:dyDescent="0.25"/>
    <row r="5" spans="2:14" x14ac:dyDescent="0.25">
      <c r="C5" s="38" t="s">
        <v>109</v>
      </c>
      <c r="D5" s="38" t="s">
        <v>110</v>
      </c>
      <c r="E5" s="38" t="s">
        <v>61</v>
      </c>
      <c r="F5" s="38" t="s">
        <v>55</v>
      </c>
      <c r="G5" s="38" t="s">
        <v>56</v>
      </c>
      <c r="H5" s="38" t="s">
        <v>111</v>
      </c>
      <c r="I5" s="38" t="s">
        <v>112</v>
      </c>
      <c r="J5" s="38" t="s">
        <v>58</v>
      </c>
      <c r="K5" s="38" t="s">
        <v>113</v>
      </c>
      <c r="L5" s="38" t="s">
        <v>114</v>
      </c>
      <c r="M5" s="38" t="s">
        <v>115</v>
      </c>
      <c r="N5" s="38" t="s">
        <v>116</v>
      </c>
    </row>
    <row r="6" spans="2:14" s="73" customFormat="1" x14ac:dyDescent="0.25">
      <c r="C6" s="38">
        <v>13</v>
      </c>
      <c r="D6" s="40">
        <v>42190</v>
      </c>
      <c r="E6" s="38" t="s">
        <v>33</v>
      </c>
      <c r="F6" s="38" t="str">
        <f>IFERROR(VLOOKUP(Tabela79[[#This Row],[Produtos]],Calculos!$F$4:$I$33,4,FALSE),"")</f>
        <v>Kg</v>
      </c>
      <c r="G6" s="38">
        <v>10</v>
      </c>
      <c r="H6" s="34">
        <f>IFERROR(VLOOKUP(Tabela79[[#This Row],[Produtos]],Calculos!$F$4:$I$33,3,FALSE),0)</f>
        <v>2.4900000000000002</v>
      </c>
      <c r="I6" s="34">
        <f>Tabela79[[#This Row],[Preço Unitário]]*Tabela79[[#This Row],[Quantidade]]</f>
        <v>24.900000000000002</v>
      </c>
      <c r="J6" s="39">
        <v>0.02</v>
      </c>
      <c r="K6" s="38" t="s">
        <v>123</v>
      </c>
      <c r="L6" s="87">
        <f>IFERROR(VLOOKUP(Tabela79[[#This Row],[Entrega]],Calculos!$A$5:$B$9,2,FALSE),0)</f>
        <v>6.5</v>
      </c>
      <c r="M6" s="3">
        <f>Tabela79[[#This Row],[SubTotal]]*(1-Tabela79[[#This Row],[Desconto]]+Tabela79[[#This Row],[Valor da Entrega]])</f>
        <v>186.25200000000004</v>
      </c>
      <c r="N6" s="3" t="str">
        <f>IF(Tabela79[[#This Row],[Id da Venda]]=C7,"",SUMIF(Tabela79[Id da Venda],Tabela79[[#This Row],[Id da Venda]],Tabela79[Total]))</f>
        <v/>
      </c>
    </row>
    <row r="7" spans="2:14" s="73" customFormat="1" x14ac:dyDescent="0.25">
      <c r="C7" s="38">
        <v>13</v>
      </c>
      <c r="D7" s="40">
        <v>42190</v>
      </c>
      <c r="E7" s="38" t="s">
        <v>45</v>
      </c>
      <c r="F7" s="38" t="str">
        <f>IFERROR(VLOOKUP(Tabela79[[#This Row],[Produtos]],Calculos!$F$4:$I$33,4,FALSE),"")</f>
        <v>Pacote</v>
      </c>
      <c r="G7" s="38">
        <v>1</v>
      </c>
      <c r="H7" s="34">
        <f>IFERROR(VLOOKUP(Tabela79[[#This Row],[Produtos]],Calculos!$F$4:$I$33,3,FALSE),0)</f>
        <v>1.1499999999999999</v>
      </c>
      <c r="I7" s="34">
        <f>Tabela79[[#This Row],[Preço Unitário]]*Tabela79[[#This Row],[Quantidade]]</f>
        <v>1.1499999999999999</v>
      </c>
      <c r="J7" s="39"/>
      <c r="K7" s="38" t="s">
        <v>123</v>
      </c>
      <c r="L7" s="87">
        <f>IFERROR(VLOOKUP(Tabela79[[#This Row],[Entrega]],Calculos!$A$5:$B$9,2,FALSE),0)</f>
        <v>6.5</v>
      </c>
      <c r="M7" s="3">
        <f>Tabela79[[#This Row],[SubTotal]]*(1-Tabela79[[#This Row],[Desconto]]+Tabela79[[#This Row],[Valor da Entrega]])</f>
        <v>8.625</v>
      </c>
      <c r="N7" s="3" t="str">
        <f>IF(Tabela79[[#This Row],[Id da Venda]]=C8,"",SUMIF(Tabela79[Id da Venda],Tabela79[[#This Row],[Id da Venda]],Tabela79[Total]))</f>
        <v/>
      </c>
    </row>
    <row r="8" spans="2:14" s="73" customFormat="1" x14ac:dyDescent="0.25">
      <c r="C8" s="38">
        <v>13</v>
      </c>
      <c r="D8" s="40">
        <v>42190</v>
      </c>
      <c r="E8" s="38" t="s">
        <v>33</v>
      </c>
      <c r="F8" s="38" t="str">
        <f>IFERROR(VLOOKUP(Tabela79[[#This Row],[Produtos]],Calculos!$F$4:$I$33,4,FALSE),"")</f>
        <v>Kg</v>
      </c>
      <c r="G8" s="38">
        <v>10</v>
      </c>
      <c r="H8" s="34">
        <f>IFERROR(VLOOKUP(Tabela79[[#This Row],[Produtos]],Calculos!$F$4:$I$33,3,FALSE),0)</f>
        <v>2.4900000000000002</v>
      </c>
      <c r="I8" s="34">
        <f>Tabela79[[#This Row],[Preço Unitário]]*Tabela79[[#This Row],[Quantidade]]</f>
        <v>24.900000000000002</v>
      </c>
      <c r="J8" s="39"/>
      <c r="K8" s="38" t="s">
        <v>119</v>
      </c>
      <c r="L8" s="87">
        <f>IFERROR(VLOOKUP(Tabela79[[#This Row],[Entrega]],Calculos!$A$5:$B$9,2,FALSE),0)</f>
        <v>5</v>
      </c>
      <c r="M8" s="3">
        <f>Tabela79[[#This Row],[SubTotal]]*(1-Tabela79[[#This Row],[Desconto]]+Tabela79[[#This Row],[Valor da Entrega]])</f>
        <v>149.4</v>
      </c>
      <c r="N8" s="3" t="str">
        <f>IF(Tabela79[[#This Row],[Id da Venda]]=C9,"",SUMIF(Tabela79[Id da Venda],Tabela79[[#This Row],[Id da Venda]],Tabela79[Total]))</f>
        <v/>
      </c>
    </row>
    <row r="9" spans="2:14" s="73" customFormat="1" x14ac:dyDescent="0.25">
      <c r="C9" s="38">
        <v>13</v>
      </c>
      <c r="D9" s="40">
        <v>42190</v>
      </c>
      <c r="E9" s="38" t="s">
        <v>50</v>
      </c>
      <c r="F9" s="38" t="str">
        <f>IFERROR(VLOOKUP(Tabela79[[#This Row],[Produtos]],Calculos!$F$4:$I$33,4,FALSE),"")</f>
        <v>Pacote</v>
      </c>
      <c r="G9" s="38">
        <v>24</v>
      </c>
      <c r="H9" s="34">
        <f>IFERROR(VLOOKUP(Tabela79[[#This Row],[Produtos]],Calculos!$F$4:$I$33,3,FALSE),0)</f>
        <v>1.99</v>
      </c>
      <c r="I9" s="34">
        <f>Tabela79[[#This Row],[Preço Unitário]]*Tabela79[[#This Row],[Quantidade]]</f>
        <v>47.76</v>
      </c>
      <c r="J9" s="39"/>
      <c r="K9" s="38" t="s">
        <v>121</v>
      </c>
      <c r="L9" s="87">
        <f>IFERROR(VLOOKUP(Tabela79[[#This Row],[Entrega]],Calculos!$A$5:$B$9,2,FALSE),0)</f>
        <v>6.5</v>
      </c>
      <c r="M9" s="3">
        <f>Tabela79[[#This Row],[SubTotal]]*(1-Tabela79[[#This Row],[Desconto]]+Tabela79[[#This Row],[Valor da Entrega]])</f>
        <v>358.2</v>
      </c>
      <c r="N9" s="4">
        <f>IF(Tabela79[[#This Row],[Id da Venda]]=C10,"",SUMIF(Tabela79[Id da Venda],Tabela79[[#This Row],[Id da Venda]],Tabela79[Total]))</f>
        <v>702.47700000000009</v>
      </c>
    </row>
    <row r="10" spans="2:14" s="73" customFormat="1" x14ac:dyDescent="0.25">
      <c r="C10" s="38">
        <v>12</v>
      </c>
      <c r="D10" s="40">
        <v>42189</v>
      </c>
      <c r="E10" s="38" t="s">
        <v>66</v>
      </c>
      <c r="F10" s="38" t="str">
        <f>IFERROR(VLOOKUP(Tabela79[[#This Row],[Produtos]],Calculos!$F$4:$I$33,4,FALSE),"")</f>
        <v>Pacote</v>
      </c>
      <c r="G10" s="38">
        <v>1</v>
      </c>
      <c r="H10" s="34">
        <f>IFERROR(VLOOKUP(Tabela79[[#This Row],[Produtos]],Calculos!$F$4:$I$33,3,FALSE),0)</f>
        <v>1.1499999999999999</v>
      </c>
      <c r="I10" s="34">
        <f>Tabela79[[#This Row],[Preço Unitário]]*Tabela79[[#This Row],[Quantidade]]</f>
        <v>1.1499999999999999</v>
      </c>
      <c r="J10" s="39">
        <v>0.05</v>
      </c>
      <c r="K10" s="38" t="s">
        <v>120</v>
      </c>
      <c r="L10" s="87">
        <f>IFERROR(VLOOKUP(Tabela79[[#This Row],[Entrega]],Calculos!$A$5:$B$9,2,FALSE),0)</f>
        <v>0</v>
      </c>
      <c r="M10" s="3">
        <f>Tabela79[[#This Row],[SubTotal]]*(1-Tabela79[[#This Row],[Desconto]]+Tabela79[[#This Row],[Valor da Entrega]])</f>
        <v>1.0924999999999998</v>
      </c>
      <c r="N10" s="4">
        <f>IF(Tabela79[[#This Row],[Id da Venda]]=C11,"",SUMIF(Tabela79[Id da Venda],Tabela79[[#This Row],[Id da Venda]],Tabela79[Total]))</f>
        <v>1.0924999999999998</v>
      </c>
    </row>
    <row r="11" spans="2:14" x14ac:dyDescent="0.25">
      <c r="C11" s="38">
        <v>11</v>
      </c>
      <c r="D11" s="40">
        <v>42189</v>
      </c>
      <c r="E11" s="38" t="s">
        <v>49</v>
      </c>
      <c r="F11" s="38" t="str">
        <f>IFERROR(VLOOKUP(Tabela79[[#This Row],[Produtos]],Calculos!$F$4:$I$33,4,FALSE),"")</f>
        <v>Pacote</v>
      </c>
      <c r="G11" s="38">
        <v>10</v>
      </c>
      <c r="H11" s="34">
        <f>IFERROR(VLOOKUP(Tabela79[[#This Row],[Produtos]],Calculos!$F$4:$I$33,3,FALSE),0)</f>
        <v>0.79</v>
      </c>
      <c r="I11" s="34">
        <f>Tabela79[[#This Row],[Preço Unitário]]*Tabela79[[#This Row],[Quantidade]]</f>
        <v>7.9</v>
      </c>
      <c r="J11" s="39"/>
      <c r="K11" s="38" t="s">
        <v>122</v>
      </c>
      <c r="L11" s="87">
        <f>IFERROR(VLOOKUP(Tabela79[[#This Row],[Entrega]],Calculos!$A$5:$B$9,2,FALSE),0)</f>
        <v>8</v>
      </c>
      <c r="M11" s="3">
        <f>Tabela79[[#This Row],[SubTotal]]*(1-Tabela79[[#This Row],[Desconto]]+Tabela79[[#This Row],[Valor da Entrega]])</f>
        <v>71.100000000000009</v>
      </c>
      <c r="N11" s="4">
        <f>IF(Tabela79[[#This Row],[Id da Venda]]=C12,"",SUMIF(Tabela79[Id da Venda],Tabela79[[#This Row],[Id da Venda]],Tabela79[Total]))</f>
        <v>71.100000000000009</v>
      </c>
    </row>
    <row r="12" spans="2:14" x14ac:dyDescent="0.25">
      <c r="C12" s="38">
        <v>10</v>
      </c>
      <c r="D12" s="40">
        <v>42189</v>
      </c>
      <c r="E12" s="38" t="s">
        <v>37</v>
      </c>
      <c r="F12" s="38" t="str">
        <f>IFERROR(VLOOKUP(Tabela79[[#This Row],[Produtos]],Calculos!$F$4:$I$33,4,FALSE),"")</f>
        <v>Kg</v>
      </c>
      <c r="G12" s="38">
        <v>6</v>
      </c>
      <c r="H12" s="34">
        <f>IFERROR(VLOOKUP(Tabela79[[#This Row],[Produtos]],Calculos!$F$4:$I$33,3,FALSE),0)</f>
        <v>15.9</v>
      </c>
      <c r="I12" s="34">
        <f>Tabela79[[#This Row],[Preço Unitário]]*Tabela79[[#This Row],[Quantidade]]</f>
        <v>95.4</v>
      </c>
      <c r="J12" s="39"/>
      <c r="K12" s="38" t="s">
        <v>119</v>
      </c>
      <c r="L12" s="87">
        <f>IFERROR(VLOOKUP(Tabela79[[#This Row],[Entrega]],Calculos!$A$5:$B$9,2,FALSE),0)</f>
        <v>5</v>
      </c>
      <c r="M12" s="3">
        <f>Tabela79[[#This Row],[SubTotal]]*(1-Tabela79[[#This Row],[Desconto]]+Tabela79[[#This Row],[Valor da Entrega]])</f>
        <v>572.40000000000009</v>
      </c>
      <c r="N12" s="4" t="str">
        <f>IF(Tabela79[[#This Row],[Id da Venda]]=C13,"",SUMIF(Tabela79[Id da Venda],Tabela79[[#This Row],[Id da Venda]],Tabela79[Total]))</f>
        <v/>
      </c>
    </row>
    <row r="13" spans="2:14" x14ac:dyDescent="0.25">
      <c r="C13" s="38">
        <v>10</v>
      </c>
      <c r="D13" s="40">
        <v>42189</v>
      </c>
      <c r="E13" s="38" t="s">
        <v>43</v>
      </c>
      <c r="F13" s="38" t="str">
        <f>IFERROR(VLOOKUP(Tabela79[[#This Row],[Produtos]],Calculos!$F$4:$I$33,4,FALSE),"")</f>
        <v>Kg</v>
      </c>
      <c r="G13" s="38">
        <v>4</v>
      </c>
      <c r="H13" s="34">
        <f>IFERROR(VLOOKUP(Tabela79[[#This Row],[Produtos]],Calculos!$F$4:$I$33,3,FALSE),0)</f>
        <v>3.99</v>
      </c>
      <c r="I13" s="34">
        <f>Tabela79[[#This Row],[Preço Unitário]]*Tabela79[[#This Row],[Quantidade]]</f>
        <v>15.96</v>
      </c>
      <c r="J13" s="39"/>
      <c r="K13" s="38" t="s">
        <v>120</v>
      </c>
      <c r="L13" s="87">
        <f>IFERROR(VLOOKUP(Tabela79[[#This Row],[Entrega]],Calculos!$A$5:$B$9,2,FALSE),0)</f>
        <v>0</v>
      </c>
      <c r="M13" s="3">
        <f>Tabela79[[#This Row],[SubTotal]]*(1-Tabela79[[#This Row],[Desconto]]+Tabela79[[#This Row],[Valor da Entrega]])</f>
        <v>15.96</v>
      </c>
      <c r="N13" s="4">
        <f>IF(Tabela79[[#This Row],[Id da Venda]]=C14,"",SUMIF(Tabela79[Id da Venda],Tabela79[[#This Row],[Id da Venda]],Tabela79[Total]))</f>
        <v>588.36000000000013</v>
      </c>
    </row>
    <row r="14" spans="2:14" x14ac:dyDescent="0.25">
      <c r="C14" s="38">
        <v>9</v>
      </c>
      <c r="D14" s="40">
        <v>42188</v>
      </c>
      <c r="E14" s="38" t="s">
        <v>46</v>
      </c>
      <c r="F14" s="38" t="str">
        <f>IFERROR(VLOOKUP(Tabela79[[#This Row],[Produtos]],Calculos!$F$4:$I$33,4,FALSE),"")</f>
        <v>Lata</v>
      </c>
      <c r="G14" s="38">
        <v>5</v>
      </c>
      <c r="H14" s="34">
        <f>IFERROR(VLOOKUP(Tabela79[[#This Row],[Produtos]],Calculos!$F$4:$I$33,3,FALSE),0)</f>
        <v>2.19</v>
      </c>
      <c r="I14" s="34">
        <f>Tabela79[[#This Row],[Preço Unitário]]*Tabela79[[#This Row],[Quantidade]]</f>
        <v>10.95</v>
      </c>
      <c r="J14" s="39">
        <v>0.12</v>
      </c>
      <c r="K14" s="38" t="s">
        <v>121</v>
      </c>
      <c r="L14" s="87">
        <f>IFERROR(VLOOKUP(Tabela79[[#This Row],[Entrega]],Calculos!$A$5:$B$9,2,FALSE),0)</f>
        <v>6.5</v>
      </c>
      <c r="M14" s="3">
        <f>Tabela79[[#This Row],[SubTotal]]*(1-Tabela79[[#This Row],[Desconto]]+Tabela79[[#This Row],[Valor da Entrega]])</f>
        <v>80.810999999999993</v>
      </c>
      <c r="N14" s="4" t="str">
        <f>IF(Tabela79[[#This Row],[Id da Venda]]=C15,"",SUMIF(Tabela79[Id da Venda],Tabela79[[#This Row],[Id da Venda]],Tabela79[Total]))</f>
        <v/>
      </c>
    </row>
    <row r="15" spans="2:14" x14ac:dyDescent="0.25">
      <c r="C15" s="38">
        <v>9</v>
      </c>
      <c r="D15" s="40">
        <v>42188</v>
      </c>
      <c r="E15" s="38" t="s">
        <v>70</v>
      </c>
      <c r="F15" s="38" t="str">
        <f>IFERROR(VLOOKUP(Tabela79[[#This Row],[Produtos]],Calculos!$F$4:$I$33,4,FALSE),"")</f>
        <v>Barra</v>
      </c>
      <c r="G15" s="38">
        <v>2</v>
      </c>
      <c r="H15" s="34">
        <f>IFERROR(VLOOKUP(Tabela79[[#This Row],[Produtos]],Calculos!$F$4:$I$33,3,FALSE),0)</f>
        <v>4.99</v>
      </c>
      <c r="I15" s="34">
        <f>Tabela79[[#This Row],[Preço Unitário]]*Tabela79[[#This Row],[Quantidade]]</f>
        <v>9.98</v>
      </c>
      <c r="J15" s="39"/>
      <c r="K15" s="38" t="s">
        <v>123</v>
      </c>
      <c r="L15" s="87">
        <f>IFERROR(VLOOKUP(Tabela79[[#This Row],[Entrega]],Calculos!$A$5:$B$9,2,FALSE),0)</f>
        <v>6.5</v>
      </c>
      <c r="M15" s="3">
        <f>Tabela79[[#This Row],[SubTotal]]*(1-Tabela79[[#This Row],[Desconto]]+Tabela79[[#This Row],[Valor da Entrega]])</f>
        <v>74.850000000000009</v>
      </c>
      <c r="N15" s="4" t="str">
        <f>IF(Tabela79[[#This Row],[Id da Venda]]=C16,"",SUMIF(Tabela79[Id da Venda],Tabela79[[#This Row],[Id da Venda]],Tabela79[Total]))</f>
        <v/>
      </c>
    </row>
    <row r="16" spans="2:14" x14ac:dyDescent="0.25">
      <c r="C16" s="38">
        <v>9</v>
      </c>
      <c r="D16" s="40">
        <v>42188</v>
      </c>
      <c r="E16" s="38" t="s">
        <v>72</v>
      </c>
      <c r="F16" s="38" t="str">
        <f>IFERROR(VLOOKUP(Tabela79[[#This Row],[Produtos]],Calculos!$F$4:$I$33,4,FALSE),"")</f>
        <v>Maço</v>
      </c>
      <c r="G16" s="38">
        <v>1.5</v>
      </c>
      <c r="H16" s="34">
        <f>IFERROR(VLOOKUP(Tabela79[[#This Row],[Produtos]],Calculos!$F$4:$I$33,3,FALSE),0)</f>
        <v>6.75</v>
      </c>
      <c r="I16" s="34">
        <f>Tabela79[[#This Row],[Preço Unitário]]*Tabela79[[#This Row],[Quantidade]]</f>
        <v>10.125</v>
      </c>
      <c r="J16" s="39"/>
      <c r="K16" s="38" t="s">
        <v>122</v>
      </c>
      <c r="L16" s="87">
        <f>IFERROR(VLOOKUP(Tabela79[[#This Row],[Entrega]],Calculos!$A$5:$B$9,2,FALSE),0)</f>
        <v>8</v>
      </c>
      <c r="M16" s="3">
        <f>Tabela79[[#This Row],[SubTotal]]*(1-Tabela79[[#This Row],[Desconto]]+Tabela79[[#This Row],[Valor da Entrega]])</f>
        <v>91.125</v>
      </c>
      <c r="N16" s="4" t="str">
        <f>IF(Tabela79[[#This Row],[Id da Venda]]=C17,"",SUMIF(Tabela79[Id da Venda],Tabela79[[#This Row],[Id da Venda]],Tabela79[Total]))</f>
        <v/>
      </c>
    </row>
    <row r="17" spans="3:14" x14ac:dyDescent="0.25">
      <c r="C17" s="38">
        <v>9</v>
      </c>
      <c r="D17" s="40">
        <v>42188</v>
      </c>
      <c r="E17" s="38" t="s">
        <v>48</v>
      </c>
      <c r="F17" s="38" t="str">
        <f>IFERROR(VLOOKUP(Tabela79[[#This Row],[Produtos]],Calculos!$F$4:$I$33,4,FALSE),"")</f>
        <v>Unidade</v>
      </c>
      <c r="G17" s="38">
        <v>4</v>
      </c>
      <c r="H17" s="34">
        <f>IFERROR(VLOOKUP(Tabela79[[#This Row],[Produtos]],Calculos!$F$4:$I$33,3,FALSE),0)</f>
        <v>2.6</v>
      </c>
      <c r="I17" s="34">
        <f>Tabela79[[#This Row],[Preço Unitário]]*Tabela79[[#This Row],[Quantidade]]</f>
        <v>10.4</v>
      </c>
      <c r="J17" s="39"/>
      <c r="K17" s="38" t="s">
        <v>119</v>
      </c>
      <c r="L17" s="87">
        <f>IFERROR(VLOOKUP(Tabela79[[#This Row],[Entrega]],Calculos!$A$5:$B$9,2,FALSE),0)</f>
        <v>5</v>
      </c>
      <c r="M17" s="3">
        <f>Tabela79[[#This Row],[SubTotal]]*(1-Tabela79[[#This Row],[Desconto]]+Tabela79[[#This Row],[Valor da Entrega]])</f>
        <v>62.400000000000006</v>
      </c>
      <c r="N17" s="4">
        <f>IF(Tabela79[[#This Row],[Id da Venda]]=C18,"",SUMIF(Tabela79[Id da Venda],Tabela79[[#This Row],[Id da Venda]],Tabela79[Total]))</f>
        <v>309.18600000000004</v>
      </c>
    </row>
    <row r="18" spans="3:14" x14ac:dyDescent="0.25">
      <c r="C18" s="38">
        <v>8</v>
      </c>
      <c r="D18" s="40">
        <v>42188</v>
      </c>
      <c r="E18" s="38" t="s">
        <v>34</v>
      </c>
      <c r="F18" s="38" t="str">
        <f>IFERROR(VLOOKUP(Tabela79[[#This Row],[Produtos]],Calculos!$F$4:$I$33,4,FALSE),"")</f>
        <v>Kg</v>
      </c>
      <c r="G18" s="38">
        <v>20</v>
      </c>
      <c r="H18" s="34">
        <f>IFERROR(VLOOKUP(Tabela79[[#This Row],[Produtos]],Calculos!$F$4:$I$33,3,FALSE),0)</f>
        <v>4.28</v>
      </c>
      <c r="I18" s="34">
        <f>Tabela79[[#This Row],[Preço Unitário]]*Tabela79[[#This Row],[Quantidade]]</f>
        <v>85.600000000000009</v>
      </c>
      <c r="J18" s="39">
        <v>0.05</v>
      </c>
      <c r="K18" s="38" t="s">
        <v>120</v>
      </c>
      <c r="L18" s="87">
        <f>IFERROR(VLOOKUP(Tabela79[[#This Row],[Entrega]],Calculos!$A$5:$B$9,2,FALSE),0)</f>
        <v>0</v>
      </c>
      <c r="M18" s="3">
        <f>Tabela79[[#This Row],[SubTotal]]*(1-Tabela79[[#This Row],[Desconto]]+Tabela79[[#This Row],[Valor da Entrega]])</f>
        <v>81.320000000000007</v>
      </c>
      <c r="N18" s="4">
        <f>IF(Tabela79[[#This Row],[Id da Venda]]=C19,"",SUMIF(Tabela79[Id da Venda],Tabela79[[#This Row],[Id da Venda]],Tabela79[Total]))</f>
        <v>81.320000000000007</v>
      </c>
    </row>
    <row r="19" spans="3:14" x14ac:dyDescent="0.25">
      <c r="C19" s="38">
        <v>7</v>
      </c>
      <c r="D19" s="40">
        <v>42188</v>
      </c>
      <c r="E19" s="38" t="s">
        <v>38</v>
      </c>
      <c r="F19" s="38" t="str">
        <f>IFERROR(VLOOKUP(Tabela79[[#This Row],[Produtos]],Calculos!$F$4:$I$33,4,FALSE),"")</f>
        <v>Kg</v>
      </c>
      <c r="G19" s="38">
        <v>20</v>
      </c>
      <c r="H19" s="34">
        <f>IFERROR(VLOOKUP(Tabela79[[#This Row],[Produtos]],Calculos!$F$4:$I$33,3,FALSE),0)</f>
        <v>6.98</v>
      </c>
      <c r="I19" s="34">
        <f>Tabela79[[#This Row],[Preço Unitário]]*Tabela79[[#This Row],[Quantidade]]</f>
        <v>139.60000000000002</v>
      </c>
      <c r="J19" s="39"/>
      <c r="K19" s="38" t="s">
        <v>121</v>
      </c>
      <c r="L19" s="87">
        <f>IFERROR(VLOOKUP(Tabela79[[#This Row],[Entrega]],Calculos!$A$5:$B$9,2,FALSE),0)</f>
        <v>6.5</v>
      </c>
      <c r="M19" s="3">
        <f>Tabela79[[#This Row],[SubTotal]]*(1-Tabela79[[#This Row],[Desconto]]+Tabela79[[#This Row],[Valor da Entrega]])</f>
        <v>1047.0000000000002</v>
      </c>
      <c r="N19" s="4">
        <f>IF(Tabela79[[#This Row],[Id da Venda]]=C20,"",SUMIF(Tabela79[Id da Venda],Tabela79[[#This Row],[Id da Venda]],Tabela79[Total]))</f>
        <v>1047.0000000000002</v>
      </c>
    </row>
    <row r="20" spans="3:14" x14ac:dyDescent="0.25">
      <c r="C20" s="38">
        <v>6</v>
      </c>
      <c r="D20" s="40">
        <v>42188</v>
      </c>
      <c r="E20" s="38" t="s">
        <v>67</v>
      </c>
      <c r="F20" s="38" t="str">
        <f>IFERROR(VLOOKUP(Tabela79[[#This Row],[Produtos]],Calculos!$F$4:$I$33,4,FALSE),"")</f>
        <v>Litro</v>
      </c>
      <c r="G20" s="38">
        <v>2</v>
      </c>
      <c r="H20" s="34">
        <f>IFERROR(VLOOKUP(Tabela79[[#This Row],[Produtos]],Calculos!$F$4:$I$33,3,FALSE),0)</f>
        <v>1.49</v>
      </c>
      <c r="I20" s="34">
        <f>Tabela79[[#This Row],[Preço Unitário]]*Tabela79[[#This Row],[Quantidade]]</f>
        <v>2.98</v>
      </c>
      <c r="J20" s="39"/>
      <c r="K20" s="38" t="s">
        <v>122</v>
      </c>
      <c r="L20" s="87">
        <f>IFERROR(VLOOKUP(Tabela79[[#This Row],[Entrega]],Calculos!$A$5:$B$9,2,FALSE),0)</f>
        <v>8</v>
      </c>
      <c r="M20" s="3">
        <f>Tabela79[[#This Row],[SubTotal]]*(1-Tabela79[[#This Row],[Desconto]]+Tabela79[[#This Row],[Valor da Entrega]])</f>
        <v>26.82</v>
      </c>
      <c r="N20" s="4" t="str">
        <f>IF(Tabela79[[#This Row],[Id da Venda]]=C21,"",SUMIF(Tabela79[Id da Venda],Tabela79[[#This Row],[Id da Venda]],Tabela79[Total]))</f>
        <v/>
      </c>
    </row>
    <row r="21" spans="3:14" x14ac:dyDescent="0.25">
      <c r="C21" s="38">
        <v>6</v>
      </c>
      <c r="D21" s="40">
        <v>42188</v>
      </c>
      <c r="E21" s="38" t="s">
        <v>74</v>
      </c>
      <c r="F21" s="38" t="str">
        <f>IFERROR(VLOOKUP(Tabela79[[#This Row],[Produtos]],Calculos!$F$4:$I$33,4,FALSE),"")</f>
        <v>Unidade</v>
      </c>
      <c r="G21" s="38">
        <v>6</v>
      </c>
      <c r="H21" s="34">
        <f>IFERROR(VLOOKUP(Tabela79[[#This Row],[Produtos]],Calculos!$F$4:$I$33,3,FALSE),0)</f>
        <v>2.89</v>
      </c>
      <c r="I21" s="34">
        <f>Tabela79[[#This Row],[Preço Unitário]]*Tabela79[[#This Row],[Quantidade]]</f>
        <v>17.34</v>
      </c>
      <c r="J21" s="39"/>
      <c r="K21" s="38" t="s">
        <v>123</v>
      </c>
      <c r="L21" s="87">
        <f>IFERROR(VLOOKUP(Tabela79[[#This Row],[Entrega]],Calculos!$A$5:$B$9,2,FALSE),0)</f>
        <v>6.5</v>
      </c>
      <c r="M21" s="3">
        <f>Tabela79[[#This Row],[SubTotal]]*(1-Tabela79[[#This Row],[Desconto]]+Tabela79[[#This Row],[Valor da Entrega]])</f>
        <v>130.05000000000001</v>
      </c>
      <c r="N21" s="4" t="str">
        <f>IF(Tabela79[[#This Row],[Id da Venda]]=C22,"",SUMIF(Tabela79[Id da Venda],Tabela79[[#This Row],[Id da Venda]],Tabela79[Total]))</f>
        <v/>
      </c>
    </row>
    <row r="22" spans="3:14" x14ac:dyDescent="0.25">
      <c r="C22" s="38">
        <v>6</v>
      </c>
      <c r="D22" s="40">
        <v>42188</v>
      </c>
      <c r="E22" s="38" t="s">
        <v>39</v>
      </c>
      <c r="F22" s="38" t="str">
        <f>IFERROR(VLOOKUP(Tabela79[[#This Row],[Produtos]],Calculos!$F$4:$I$33,4,FALSE),"")</f>
        <v>Kg</v>
      </c>
      <c r="G22" s="38">
        <v>12</v>
      </c>
      <c r="H22" s="34">
        <f>IFERROR(VLOOKUP(Tabela79[[#This Row],[Produtos]],Calculos!$F$4:$I$33,3,FALSE),0)</f>
        <v>23.9</v>
      </c>
      <c r="I22" s="34">
        <f>Tabela79[[#This Row],[Preço Unitário]]*Tabela79[[#This Row],[Quantidade]]</f>
        <v>286.79999999999995</v>
      </c>
      <c r="J22" s="39"/>
      <c r="K22" s="38" t="s">
        <v>119</v>
      </c>
      <c r="L22" s="87">
        <f>IFERROR(VLOOKUP(Tabela79[[#This Row],[Entrega]],Calculos!$A$5:$B$9,2,FALSE),0)</f>
        <v>5</v>
      </c>
      <c r="M22" s="3">
        <f>Tabela79[[#This Row],[SubTotal]]*(1-Tabela79[[#This Row],[Desconto]]+Tabela79[[#This Row],[Valor da Entrega]])</f>
        <v>1720.7999999999997</v>
      </c>
      <c r="N22" s="4">
        <f>IF(Tabela79[[#This Row],[Id da Venda]]=C23,"",SUMIF(Tabela79[Id da Venda],Tabela79[[#This Row],[Id da Venda]],Tabela79[Total]))</f>
        <v>1877.6699999999996</v>
      </c>
    </row>
    <row r="23" spans="3:14" x14ac:dyDescent="0.25">
      <c r="C23" s="38">
        <v>5</v>
      </c>
      <c r="D23" s="40">
        <v>42187</v>
      </c>
      <c r="E23" s="38" t="s">
        <v>40</v>
      </c>
      <c r="F23" s="38" t="str">
        <f>IFERROR(VLOOKUP(Tabela79[[#This Row],[Produtos]],Calculos!$F$4:$I$33,4,FALSE),"")</f>
        <v>Kg</v>
      </c>
      <c r="G23" s="38">
        <v>3</v>
      </c>
      <c r="H23" s="34">
        <f>IFERROR(VLOOKUP(Tabela79[[#This Row],[Produtos]],Calculos!$F$4:$I$33,3,FALSE),0)</f>
        <v>25.9</v>
      </c>
      <c r="I23" s="34">
        <f>Tabela79[[#This Row],[Preço Unitário]]*Tabela79[[#This Row],[Quantidade]]</f>
        <v>77.699999999999989</v>
      </c>
      <c r="J23" s="39"/>
      <c r="K23" s="38" t="s">
        <v>120</v>
      </c>
      <c r="L23" s="87">
        <f>IFERROR(VLOOKUP(Tabela79[[#This Row],[Entrega]],Calculos!$A$5:$B$9,2,FALSE),0)</f>
        <v>0</v>
      </c>
      <c r="M23" s="3">
        <f>Tabela79[[#This Row],[SubTotal]]*(1-Tabela79[[#This Row],[Desconto]]+Tabela79[[#This Row],[Valor da Entrega]])</f>
        <v>77.699999999999989</v>
      </c>
      <c r="N23" s="4">
        <f>IF(Tabela79[[#This Row],[Id da Venda]]=C24,"",SUMIF(Tabela79[Id da Venda],Tabela79[[#This Row],[Id da Venda]],Tabela79[Total]))</f>
        <v>77.699999999999989</v>
      </c>
    </row>
    <row r="24" spans="3:14" x14ac:dyDescent="0.25">
      <c r="C24" s="38">
        <v>4</v>
      </c>
      <c r="D24" s="40">
        <v>42187</v>
      </c>
      <c r="E24" s="38" t="s">
        <v>75</v>
      </c>
      <c r="F24" s="38" t="str">
        <f>IFERROR(VLOOKUP(Tabela79[[#This Row],[Produtos]],Calculos!$F$4:$I$33,4,FALSE),"")</f>
        <v>Litro</v>
      </c>
      <c r="G24" s="38">
        <v>2</v>
      </c>
      <c r="H24" s="34">
        <f>IFERROR(VLOOKUP(Tabela79[[#This Row],[Produtos]],Calculos!$F$4:$I$33,3,FALSE),0)</f>
        <v>2.39</v>
      </c>
      <c r="I24" s="34">
        <f>Tabela79[[#This Row],[Preço Unitário]]*Tabela79[[#This Row],[Quantidade]]</f>
        <v>4.78</v>
      </c>
      <c r="J24" s="39">
        <v>0.1</v>
      </c>
      <c r="K24" s="38" t="s">
        <v>121</v>
      </c>
      <c r="L24" s="87">
        <f>IFERROR(VLOOKUP(Tabela79[[#This Row],[Entrega]],Calculos!$A$5:$B$9,2,FALSE),0)</f>
        <v>6.5</v>
      </c>
      <c r="M24" s="3">
        <f>Tabela79[[#This Row],[SubTotal]]*(1-Tabela79[[#This Row],[Desconto]]+Tabela79[[#This Row],[Valor da Entrega]])</f>
        <v>35.372000000000007</v>
      </c>
      <c r="N24" s="4" t="str">
        <f>IF(Tabela79[[#This Row],[Id da Venda]]=C25,"",SUMIF(Tabela79[Id da Venda],Tabela79[[#This Row],[Id da Venda]],Tabela79[Total]))</f>
        <v/>
      </c>
    </row>
    <row r="25" spans="3:14" x14ac:dyDescent="0.25">
      <c r="C25" s="38">
        <v>4</v>
      </c>
      <c r="D25" s="40">
        <v>42187</v>
      </c>
      <c r="E25" s="38" t="s">
        <v>42</v>
      </c>
      <c r="F25" s="38" t="str">
        <f>IFERROR(VLOOKUP(Tabela79[[#This Row],[Produtos]],Calculos!$F$4:$I$33,4,FALSE),"")</f>
        <v>Litro</v>
      </c>
      <c r="G25" s="38">
        <v>5</v>
      </c>
      <c r="H25" s="34">
        <f>IFERROR(VLOOKUP(Tabela79[[#This Row],[Produtos]],Calculos!$F$4:$I$33,3,FALSE),0)</f>
        <v>3.45</v>
      </c>
      <c r="I25" s="34">
        <f>Tabela79[[#This Row],[Preço Unitário]]*Tabela79[[#This Row],[Quantidade]]</f>
        <v>17.25</v>
      </c>
      <c r="J25" s="39"/>
      <c r="K25" s="38" t="s">
        <v>122</v>
      </c>
      <c r="L25" s="87">
        <f>IFERROR(VLOOKUP(Tabela79[[#This Row],[Entrega]],Calculos!$A$5:$B$9,2,FALSE),0)</f>
        <v>8</v>
      </c>
      <c r="M25" s="3">
        <f>Tabela79[[#This Row],[SubTotal]]*(1-Tabela79[[#This Row],[Desconto]]+Tabela79[[#This Row],[Valor da Entrega]])</f>
        <v>155.25</v>
      </c>
      <c r="N25" s="4">
        <f>IF(Tabela79[[#This Row],[Id da Venda]]=C26,"",SUMIF(Tabela79[Id da Venda],Tabela79[[#This Row],[Id da Venda]],Tabela79[Total]))</f>
        <v>190.62200000000001</v>
      </c>
    </row>
    <row r="26" spans="3:14" x14ac:dyDescent="0.25">
      <c r="C26" s="38">
        <v>3</v>
      </c>
      <c r="D26" s="40">
        <v>42187</v>
      </c>
      <c r="E26" s="38" t="s">
        <v>35</v>
      </c>
      <c r="F26" s="38" t="str">
        <f>IFERROR(VLOOKUP(Tabela79[[#This Row],[Produtos]],Calculos!$F$4:$I$33,4,FALSE),"")</f>
        <v>Kg</v>
      </c>
      <c r="G26" s="38">
        <v>6</v>
      </c>
      <c r="H26" s="34">
        <f>IFERROR(VLOOKUP(Tabela79[[#This Row],[Produtos]],Calculos!$F$4:$I$33,3,FALSE),0)</f>
        <v>5.82</v>
      </c>
      <c r="I26" s="34">
        <f>Tabela79[[#This Row],[Preço Unitário]]*Tabela79[[#This Row],[Quantidade]]</f>
        <v>34.92</v>
      </c>
      <c r="J26" s="39"/>
      <c r="K26" s="38" t="s">
        <v>123</v>
      </c>
      <c r="L26" s="87">
        <f>IFERROR(VLOOKUP(Tabela79[[#This Row],[Entrega]],Calculos!$A$5:$B$9,2,FALSE),0)</f>
        <v>6.5</v>
      </c>
      <c r="M26" s="3">
        <f>Tabela79[[#This Row],[SubTotal]]*(1-Tabela79[[#This Row],[Desconto]]+Tabela79[[#This Row],[Valor da Entrega]])</f>
        <v>261.90000000000003</v>
      </c>
      <c r="N26" s="4">
        <f>IF(Tabela79[[#This Row],[Id da Venda]]=C27,"",SUMIF(Tabela79[Id da Venda],Tabela79[[#This Row],[Id da Venda]],Tabela79[Total]))</f>
        <v>261.90000000000003</v>
      </c>
    </row>
    <row r="27" spans="3:14" x14ac:dyDescent="0.25">
      <c r="C27" s="38">
        <v>2</v>
      </c>
      <c r="D27" s="40">
        <v>42187</v>
      </c>
      <c r="E27" s="38" t="s">
        <v>44</v>
      </c>
      <c r="F27" s="38" t="str">
        <f>IFERROR(VLOOKUP(Tabela79[[#This Row],[Produtos]],Calculos!$F$4:$I$33,4,FALSE),"")</f>
        <v>Kg</v>
      </c>
      <c r="G27" s="38">
        <v>1</v>
      </c>
      <c r="H27" s="34">
        <f>IFERROR(VLOOKUP(Tabela79[[#This Row],[Produtos]],Calculos!$F$4:$I$33,3,FALSE),0)</f>
        <v>9.58</v>
      </c>
      <c r="I27" s="34">
        <f>Tabela79[[#This Row],[Preço Unitário]]*Tabela79[[#This Row],[Quantidade]]</f>
        <v>9.58</v>
      </c>
      <c r="J27" s="39"/>
      <c r="K27" s="38" t="s">
        <v>119</v>
      </c>
      <c r="L27" s="87">
        <f>IFERROR(VLOOKUP(Tabela79[[#This Row],[Entrega]],Calculos!$A$5:$B$9,2,FALSE),0)</f>
        <v>5</v>
      </c>
      <c r="M27" s="3">
        <f>Tabela79[[#This Row],[SubTotal]]*(1-Tabela79[[#This Row],[Desconto]]+Tabela79[[#This Row],[Valor da Entrega]])</f>
        <v>57.480000000000004</v>
      </c>
      <c r="N27" s="4">
        <f>IF(Tabela79[[#This Row],[Id da Venda]]=C28,"",SUMIF(Tabela79[Id da Venda],Tabela79[[#This Row],[Id da Venda]],Tabela79[Total]))</f>
        <v>57.480000000000004</v>
      </c>
    </row>
    <row r="28" spans="3:14" x14ac:dyDescent="0.25">
      <c r="C28" s="38">
        <v>1</v>
      </c>
      <c r="D28" s="40">
        <v>42187</v>
      </c>
      <c r="E28" s="38" t="s">
        <v>41</v>
      </c>
      <c r="F28" s="38" t="str">
        <f>IFERROR(VLOOKUP(Tabela79[[#This Row],[Produtos]],Calculos!$F$4:$I$33,4,FALSE),"")</f>
        <v>Garrafa</v>
      </c>
      <c r="G28" s="38">
        <v>2</v>
      </c>
      <c r="H28" s="34">
        <f>IFERROR(VLOOKUP(Tabela79[[#This Row],[Produtos]],Calculos!$F$4:$I$33,3,FALSE),0)</f>
        <v>29.9</v>
      </c>
      <c r="I28" s="34">
        <f>Tabela79[[#This Row],[Preço Unitário]]*Tabela79[[#This Row],[Quantidade]]</f>
        <v>59.8</v>
      </c>
      <c r="J28" s="39"/>
      <c r="K28" s="38" t="s">
        <v>120</v>
      </c>
      <c r="L28" s="87">
        <f>IFERROR(VLOOKUP(Tabela79[[#This Row],[Entrega]],Calculos!$A$5:$B$9,2,FALSE),0)</f>
        <v>0</v>
      </c>
      <c r="M28" s="3">
        <f>Tabela79[[#This Row],[SubTotal]]*(1-Tabela79[[#This Row],[Desconto]]+Tabela79[[#This Row],[Valor da Entrega]])</f>
        <v>59.8</v>
      </c>
      <c r="N28" s="4" t="str">
        <f>IF(Tabela79[[#This Row],[Id da Venda]]=C29,"",SUMIF(Tabela79[Id da Venda],Tabela79[[#This Row],[Id da Venda]],Tabela79[Total]))</f>
        <v/>
      </c>
    </row>
    <row r="29" spans="3:14" x14ac:dyDescent="0.25">
      <c r="C29" s="38">
        <v>1</v>
      </c>
      <c r="D29" s="40">
        <v>42187</v>
      </c>
      <c r="E29" s="38" t="s">
        <v>47</v>
      </c>
      <c r="F29" s="38" t="str">
        <f>IFERROR(VLOOKUP(Tabela79[[#This Row],[Produtos]],Calculos!$F$4:$I$33,4,FALSE),"")</f>
        <v>Garrafa</v>
      </c>
      <c r="G29" s="38">
        <v>3</v>
      </c>
      <c r="H29" s="34">
        <f>IFERROR(VLOOKUP(Tabela79[[#This Row],[Produtos]],Calculos!$F$4:$I$33,3,FALSE),0)</f>
        <v>54.9</v>
      </c>
      <c r="I29" s="34">
        <f>Tabela79[[#This Row],[Preço Unitário]]*Tabela79[[#This Row],[Quantidade]]</f>
        <v>164.7</v>
      </c>
      <c r="J29" s="39">
        <v>7.0000000000000007E-2</v>
      </c>
      <c r="K29" s="38" t="s">
        <v>121</v>
      </c>
      <c r="L29" s="87">
        <f>IFERROR(VLOOKUP(Tabela79[[#This Row],[Entrega]],Calculos!$A$5:$B$9,2,FALSE),0)</f>
        <v>6.5</v>
      </c>
      <c r="M29" s="3">
        <f>Tabela79[[#This Row],[SubTotal]]*(1-Tabela79[[#This Row],[Desconto]]+Tabela79[[#This Row],[Valor da Entrega]])</f>
        <v>1223.7209999999998</v>
      </c>
      <c r="N29" s="4" t="str">
        <f>IF(Tabela79[[#This Row],[Id da Venda]]=C30,"",SUMIF(Tabela79[Id da Venda],Tabela79[[#This Row],[Id da Venda]],Tabela79[Total]))</f>
        <v/>
      </c>
    </row>
    <row r="30" spans="3:14" x14ac:dyDescent="0.25">
      <c r="C30" s="38">
        <v>1</v>
      </c>
      <c r="D30" s="40">
        <v>42187</v>
      </c>
      <c r="E30" s="38" t="s">
        <v>36</v>
      </c>
      <c r="F30" s="38" t="str">
        <f>IFERROR(VLOOKUP(Tabela79[[#This Row],[Produtos]],Calculos!$F$4:$I$33,4,FALSE),"")</f>
        <v>Unidade</v>
      </c>
      <c r="G30" s="38">
        <v>1</v>
      </c>
      <c r="H30" s="34">
        <f>IFERROR(VLOOKUP(Tabela79[[#This Row],[Produtos]],Calculos!$F$4:$I$33,3,FALSE),0)</f>
        <v>2.99</v>
      </c>
      <c r="I30" s="34">
        <f>Tabela79[[#This Row],[Preço Unitário]]*Tabela79[[#This Row],[Quantidade]]</f>
        <v>2.99</v>
      </c>
      <c r="J30" s="39"/>
      <c r="K30" s="38" t="s">
        <v>122</v>
      </c>
      <c r="L30" s="87">
        <f>IFERROR(VLOOKUP(Tabela79[[#This Row],[Entrega]],Calculos!$A$5:$B$9,2,FALSE),0)</f>
        <v>8</v>
      </c>
      <c r="M30" s="3">
        <f>Tabela79[[#This Row],[SubTotal]]*(1-Tabela79[[#This Row],[Desconto]]+Tabela79[[#This Row],[Valor da Entrega]])</f>
        <v>26.910000000000004</v>
      </c>
      <c r="N30" s="4">
        <f>IF(Tabela79[[#This Row],[Id da Venda]]=C31,"",SUMIF(Tabela79[Id da Venda],Tabela79[[#This Row],[Id da Venda]],Tabela79[Total]))</f>
        <v>1310.4309999999998</v>
      </c>
    </row>
    <row r="34" spans="3:14" ht="26.25" x14ac:dyDescent="0.4">
      <c r="C34" s="60" t="s">
        <v>124</v>
      </c>
      <c r="D34" s="60"/>
      <c r="E34" s="60"/>
      <c r="F34" s="60"/>
      <c r="G34" s="60"/>
      <c r="M34" s="61">
        <f>SUM(Tabela79[Total Cliente])</f>
        <v>6576.3384999999989</v>
      </c>
      <c r="N34" s="61"/>
    </row>
    <row r="36" spans="3:14" ht="26.25" x14ac:dyDescent="0.4">
      <c r="C36" s="60" t="s">
        <v>125</v>
      </c>
      <c r="D36" s="62"/>
      <c r="E36" s="62"/>
      <c r="F36" s="62"/>
      <c r="G36" s="62"/>
      <c r="M36" s="61">
        <f>SUM(Tabela79[Valor da Entrega])</f>
        <v>130</v>
      </c>
      <c r="N36" s="61"/>
    </row>
    <row r="37" spans="3:14" x14ac:dyDescent="0.25">
      <c r="C37" s="62"/>
      <c r="D37" s="62"/>
      <c r="E37" s="62"/>
      <c r="F37" s="62"/>
      <c r="G37" s="62"/>
      <c r="M37" s="61"/>
      <c r="N37" s="61"/>
    </row>
    <row r="39" spans="3:14" ht="26.25" x14ac:dyDescent="0.4">
      <c r="C39" s="60" t="s">
        <v>139</v>
      </c>
      <c r="D39" s="62"/>
      <c r="E39" s="62"/>
      <c r="F39" s="62"/>
      <c r="G39" s="62"/>
      <c r="M39" s="59">
        <f>SUM(IF(FREQUENCY(Tabela79[Id da Venda],Tabela79[Id da Venda])&gt;0,1,0))</f>
        <v>13</v>
      </c>
      <c r="N39" s="59"/>
    </row>
    <row r="40" spans="3:14" x14ac:dyDescent="0.25">
      <c r="C40" s="62"/>
      <c r="D40" s="62"/>
      <c r="E40" s="62"/>
      <c r="F40" s="62"/>
      <c r="G40" s="62"/>
      <c r="M40" s="59"/>
      <c r="N40" s="59"/>
    </row>
  </sheetData>
  <mergeCells count="6">
    <mergeCell ref="C34:G34"/>
    <mergeCell ref="M34:N34"/>
    <mergeCell ref="C36:G37"/>
    <mergeCell ref="M36:N37"/>
    <mergeCell ref="C39:G40"/>
    <mergeCell ref="M39:N40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01158D6-463B-4E65-9F46-63941D421A32}">
          <x14:formula1>
            <xm:f>Calculos!$A$5:$A$9</xm:f>
          </x14:formula1>
          <xm:sqref>K6:K30</xm:sqref>
        </x14:dataValidation>
        <x14:dataValidation type="list" allowBlank="1" showInputMessage="1" showErrorMessage="1" xr:uid="{8068A0F4-96A0-482D-8CF3-C5E7F45F8686}">
          <x14:formula1>
            <xm:f>Calculos!$F$4:$F$30</xm:f>
          </x14:formula1>
          <xm:sqref>E6:E30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67EC8-EE09-4C84-BDB9-D423B00B12B2}">
  <dimension ref="A3:H32"/>
  <sheetViews>
    <sheetView workbookViewId="0">
      <selection activeCell="G20" sqref="G20"/>
    </sheetView>
  </sheetViews>
  <sheetFormatPr defaultRowHeight="15" x14ac:dyDescent="0.25"/>
  <cols>
    <col min="1" max="1" width="19.42578125" bestFit="1" customWidth="1"/>
    <col min="2" max="2" width="19.7109375" bestFit="1" customWidth="1"/>
    <col min="3" max="3" width="13.5703125" bestFit="1" customWidth="1"/>
    <col min="4" max="4" width="21.5703125" bestFit="1" customWidth="1"/>
    <col min="5" max="5" width="18" bestFit="1" customWidth="1"/>
    <col min="6" max="6" width="19.7109375" bestFit="1" customWidth="1"/>
    <col min="7" max="7" width="23.85546875" bestFit="1" customWidth="1"/>
    <col min="8" max="8" width="13.5703125" bestFit="1" customWidth="1"/>
  </cols>
  <sheetData>
    <row r="3" spans="1:8" x14ac:dyDescent="0.25">
      <c r="A3" s="75" t="s">
        <v>158</v>
      </c>
      <c r="B3" s="73" t="s">
        <v>160</v>
      </c>
      <c r="C3" s="73" t="s">
        <v>161</v>
      </c>
    </row>
    <row r="4" spans="1:8" x14ac:dyDescent="0.25">
      <c r="A4" s="76">
        <v>42187</v>
      </c>
      <c r="B4" s="74">
        <v>23</v>
      </c>
      <c r="C4" s="88">
        <v>1898.1329999999998</v>
      </c>
      <c r="E4" s="75" t="s">
        <v>158</v>
      </c>
      <c r="F4" s="73" t="s">
        <v>160</v>
      </c>
      <c r="G4" s="73" t="s">
        <v>162</v>
      </c>
      <c r="H4" s="73" t="s">
        <v>161</v>
      </c>
    </row>
    <row r="5" spans="1:8" x14ac:dyDescent="0.25">
      <c r="A5" s="78" t="s">
        <v>36</v>
      </c>
      <c r="B5" s="74">
        <v>1</v>
      </c>
      <c r="C5" s="88">
        <v>26.910000000000004</v>
      </c>
      <c r="E5" s="77" t="s">
        <v>119</v>
      </c>
      <c r="F5" s="74">
        <v>33</v>
      </c>
      <c r="G5" s="88">
        <v>25</v>
      </c>
      <c r="H5" s="88">
        <v>2562.48</v>
      </c>
    </row>
    <row r="6" spans="1:8" x14ac:dyDescent="0.25">
      <c r="A6" s="78" t="s">
        <v>40</v>
      </c>
      <c r="B6" s="74">
        <v>3</v>
      </c>
      <c r="C6" s="88">
        <v>77.699999999999989</v>
      </c>
      <c r="E6" s="77" t="s">
        <v>120</v>
      </c>
      <c r="F6" s="74">
        <v>30</v>
      </c>
      <c r="G6" s="88">
        <v>0</v>
      </c>
      <c r="H6" s="88">
        <v>235.8725</v>
      </c>
    </row>
    <row r="7" spans="1:8" x14ac:dyDescent="0.25">
      <c r="A7" s="78" t="s">
        <v>75</v>
      </c>
      <c r="B7" s="74">
        <v>2</v>
      </c>
      <c r="C7" s="88">
        <v>35.372000000000007</v>
      </c>
      <c r="E7" s="77" t="s">
        <v>121</v>
      </c>
      <c r="F7" s="74">
        <v>54</v>
      </c>
      <c r="G7" s="88">
        <v>32.5</v>
      </c>
      <c r="H7" s="88">
        <v>2745.1040000000003</v>
      </c>
    </row>
    <row r="8" spans="1:8" x14ac:dyDescent="0.25">
      <c r="A8" s="78" t="s">
        <v>42</v>
      </c>
      <c r="B8" s="74">
        <v>5</v>
      </c>
      <c r="C8" s="88">
        <v>155.25</v>
      </c>
      <c r="E8" s="77" t="s">
        <v>122</v>
      </c>
      <c r="F8" s="74">
        <v>19.5</v>
      </c>
      <c r="G8" s="88">
        <v>40</v>
      </c>
      <c r="H8" s="88">
        <v>371.20500000000004</v>
      </c>
    </row>
    <row r="9" spans="1:8" x14ac:dyDescent="0.25">
      <c r="A9" s="78" t="s">
        <v>35</v>
      </c>
      <c r="B9" s="74">
        <v>6</v>
      </c>
      <c r="C9" s="88">
        <v>261.90000000000003</v>
      </c>
      <c r="E9" s="77" t="s">
        <v>123</v>
      </c>
      <c r="F9" s="74">
        <v>25</v>
      </c>
      <c r="G9" s="88">
        <v>32.5</v>
      </c>
      <c r="H9" s="88">
        <v>661.67700000000013</v>
      </c>
    </row>
    <row r="10" spans="1:8" x14ac:dyDescent="0.25">
      <c r="A10" s="78" t="s">
        <v>44</v>
      </c>
      <c r="B10" s="74">
        <v>1</v>
      </c>
      <c r="C10" s="88">
        <v>57.480000000000004</v>
      </c>
      <c r="E10" s="77" t="s">
        <v>159</v>
      </c>
      <c r="F10" s="74">
        <v>161.5</v>
      </c>
      <c r="G10" s="88">
        <v>130</v>
      </c>
      <c r="H10" s="88">
        <v>6576.3384999999998</v>
      </c>
    </row>
    <row r="11" spans="1:8" x14ac:dyDescent="0.25">
      <c r="A11" s="78" t="s">
        <v>41</v>
      </c>
      <c r="B11" s="74">
        <v>2</v>
      </c>
      <c r="C11" s="88">
        <v>59.8</v>
      </c>
    </row>
    <row r="12" spans="1:8" x14ac:dyDescent="0.25">
      <c r="A12" s="78" t="s">
        <v>47</v>
      </c>
      <c r="B12" s="74">
        <v>3</v>
      </c>
      <c r="C12" s="88">
        <v>1223.7209999999998</v>
      </c>
    </row>
    <row r="13" spans="1:8" x14ac:dyDescent="0.25">
      <c r="A13" s="76">
        <v>42188</v>
      </c>
      <c r="B13" s="74">
        <v>72.5</v>
      </c>
      <c r="C13" s="88">
        <v>3315.1759999999999</v>
      </c>
    </row>
    <row r="14" spans="1:8" x14ac:dyDescent="0.25">
      <c r="A14" s="78" t="s">
        <v>46</v>
      </c>
      <c r="B14" s="74">
        <v>5</v>
      </c>
      <c r="C14" s="88">
        <v>80.810999999999993</v>
      </c>
    </row>
    <row r="15" spans="1:8" x14ac:dyDescent="0.25">
      <c r="A15" s="78" t="s">
        <v>70</v>
      </c>
      <c r="B15" s="74">
        <v>2</v>
      </c>
      <c r="C15" s="88">
        <v>74.850000000000009</v>
      </c>
    </row>
    <row r="16" spans="1:8" x14ac:dyDescent="0.25">
      <c r="A16" s="78" t="s">
        <v>72</v>
      </c>
      <c r="B16" s="74">
        <v>1.5</v>
      </c>
      <c r="C16" s="88">
        <v>91.125</v>
      </c>
    </row>
    <row r="17" spans="1:3" x14ac:dyDescent="0.25">
      <c r="A17" s="78" t="s">
        <v>48</v>
      </c>
      <c r="B17" s="74">
        <v>4</v>
      </c>
      <c r="C17" s="88">
        <v>62.400000000000006</v>
      </c>
    </row>
    <row r="18" spans="1:3" x14ac:dyDescent="0.25">
      <c r="A18" s="78" t="s">
        <v>34</v>
      </c>
      <c r="B18" s="74">
        <v>20</v>
      </c>
      <c r="C18" s="88">
        <v>81.320000000000007</v>
      </c>
    </row>
    <row r="19" spans="1:3" x14ac:dyDescent="0.25">
      <c r="A19" s="78" t="s">
        <v>38</v>
      </c>
      <c r="B19" s="74">
        <v>20</v>
      </c>
      <c r="C19" s="88">
        <v>1047.0000000000002</v>
      </c>
    </row>
    <row r="20" spans="1:3" x14ac:dyDescent="0.25">
      <c r="A20" s="78" t="s">
        <v>67</v>
      </c>
      <c r="B20" s="74">
        <v>2</v>
      </c>
      <c r="C20" s="88">
        <v>26.82</v>
      </c>
    </row>
    <row r="21" spans="1:3" x14ac:dyDescent="0.25">
      <c r="A21" s="78" t="s">
        <v>74</v>
      </c>
      <c r="B21" s="74">
        <v>6</v>
      </c>
      <c r="C21" s="88">
        <v>130.05000000000001</v>
      </c>
    </row>
    <row r="22" spans="1:3" x14ac:dyDescent="0.25">
      <c r="A22" s="78" t="s">
        <v>39</v>
      </c>
      <c r="B22" s="74">
        <v>12</v>
      </c>
      <c r="C22" s="88">
        <v>1720.7999999999997</v>
      </c>
    </row>
    <row r="23" spans="1:3" x14ac:dyDescent="0.25">
      <c r="A23" s="76">
        <v>42189</v>
      </c>
      <c r="B23" s="74">
        <v>21</v>
      </c>
      <c r="C23" s="88">
        <v>660.55250000000012</v>
      </c>
    </row>
    <row r="24" spans="1:3" x14ac:dyDescent="0.25">
      <c r="A24" s="78" t="s">
        <v>66</v>
      </c>
      <c r="B24" s="74">
        <v>1</v>
      </c>
      <c r="C24" s="88">
        <v>1.0924999999999998</v>
      </c>
    </row>
    <row r="25" spans="1:3" x14ac:dyDescent="0.25">
      <c r="A25" s="78" t="s">
        <v>49</v>
      </c>
      <c r="B25" s="74">
        <v>10</v>
      </c>
      <c r="C25" s="88">
        <v>71.100000000000009</v>
      </c>
    </row>
    <row r="26" spans="1:3" x14ac:dyDescent="0.25">
      <c r="A26" s="78" t="s">
        <v>37</v>
      </c>
      <c r="B26" s="74">
        <v>6</v>
      </c>
      <c r="C26" s="88">
        <v>572.40000000000009</v>
      </c>
    </row>
    <row r="27" spans="1:3" x14ac:dyDescent="0.25">
      <c r="A27" s="78" t="s">
        <v>43</v>
      </c>
      <c r="B27" s="74">
        <v>4</v>
      </c>
      <c r="C27" s="88">
        <v>15.96</v>
      </c>
    </row>
    <row r="28" spans="1:3" x14ac:dyDescent="0.25">
      <c r="A28" s="76">
        <v>42190</v>
      </c>
      <c r="B28" s="74">
        <v>45</v>
      </c>
      <c r="C28" s="88">
        <v>702.47700000000009</v>
      </c>
    </row>
    <row r="29" spans="1:3" x14ac:dyDescent="0.25">
      <c r="A29" s="78" t="s">
        <v>45</v>
      </c>
      <c r="B29" s="74">
        <v>1</v>
      </c>
      <c r="C29" s="88">
        <v>8.625</v>
      </c>
    </row>
    <row r="30" spans="1:3" x14ac:dyDescent="0.25">
      <c r="A30" s="78" t="s">
        <v>33</v>
      </c>
      <c r="B30" s="74">
        <v>20</v>
      </c>
      <c r="C30" s="88">
        <v>335.65200000000004</v>
      </c>
    </row>
    <row r="31" spans="1:3" x14ac:dyDescent="0.25">
      <c r="A31" s="78" t="s">
        <v>50</v>
      </c>
      <c r="B31" s="74">
        <v>24</v>
      </c>
      <c r="C31" s="88">
        <v>358.2</v>
      </c>
    </row>
    <row r="32" spans="1:3" x14ac:dyDescent="0.25">
      <c r="A32" s="76" t="s">
        <v>159</v>
      </c>
      <c r="B32" s="74">
        <v>161.5</v>
      </c>
      <c r="C32" s="88">
        <v>6576.3384999999998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FE2D6-3BA4-4C4A-80D5-4ACBF13D7988}">
  <sheetPr codeName="Planilha9"/>
  <dimension ref="B1:N40"/>
  <sheetViews>
    <sheetView showGridLines="0" topLeftCell="A6" workbookViewId="0">
      <selection activeCell="I10" sqref="I10"/>
    </sheetView>
  </sheetViews>
  <sheetFormatPr defaultRowHeight="15" x14ac:dyDescent="0.25"/>
  <cols>
    <col min="1" max="1" width="11.42578125" style="38" customWidth="1"/>
    <col min="2" max="2" width="14.28515625" style="38" customWidth="1"/>
    <col min="3" max="3" width="13.5703125" style="38" customWidth="1"/>
    <col min="4" max="4" width="15.85546875" style="38" customWidth="1"/>
    <col min="5" max="5" width="13.85546875" style="38" customWidth="1"/>
    <col min="6" max="6" width="10.5703125" style="38" customWidth="1"/>
    <col min="7" max="7" width="13.5703125" style="38" customWidth="1"/>
    <col min="8" max="8" width="15.7109375" style="38" customWidth="1"/>
    <col min="9" max="9" width="10.85546875" style="38" customWidth="1"/>
    <col min="10" max="10" width="11.42578125" style="38" customWidth="1"/>
    <col min="11" max="11" width="11.7109375" style="38" customWidth="1"/>
    <col min="12" max="12" width="17.5703125" style="38" customWidth="1"/>
    <col min="13" max="13" width="13.28515625" style="38" customWidth="1"/>
    <col min="14" max="14" width="14.42578125" style="38" customWidth="1"/>
    <col min="15" max="16384" width="9.140625" style="38"/>
  </cols>
  <sheetData>
    <row r="1" spans="2:14" s="1" customFormat="1" ht="40.5" customHeight="1" x14ac:dyDescent="0.35">
      <c r="B1" s="5" t="s">
        <v>128</v>
      </c>
    </row>
    <row r="2" spans="2:14" s="1" customFormat="1" ht="12.75" customHeight="1" x14ac:dyDescent="0.2"/>
    <row r="3" spans="2:14" ht="12.75" customHeight="1" x14ac:dyDescent="0.25"/>
    <row r="5" spans="2:14" x14ac:dyDescent="0.25">
      <c r="C5" s="38" t="s">
        <v>109</v>
      </c>
      <c r="D5" s="38" t="s">
        <v>110</v>
      </c>
      <c r="E5" s="38" t="s">
        <v>61</v>
      </c>
      <c r="F5" s="38" t="s">
        <v>55</v>
      </c>
      <c r="G5" s="38" t="s">
        <v>56</v>
      </c>
      <c r="H5" s="38" t="s">
        <v>111</v>
      </c>
      <c r="I5" s="38" t="s">
        <v>112</v>
      </c>
      <c r="J5" s="38" t="s">
        <v>58</v>
      </c>
      <c r="K5" s="38" t="s">
        <v>113</v>
      </c>
      <c r="L5" s="38" t="s">
        <v>114</v>
      </c>
      <c r="M5" s="38" t="s">
        <v>115</v>
      </c>
      <c r="N5" s="38" t="s">
        <v>116</v>
      </c>
    </row>
    <row r="6" spans="2:14" x14ac:dyDescent="0.25">
      <c r="C6" s="38">
        <v>13</v>
      </c>
      <c r="D6" s="40">
        <v>42190</v>
      </c>
      <c r="E6" s="38" t="s">
        <v>33</v>
      </c>
      <c r="F6" s="38" t="str">
        <f>IFERROR(VLOOKUP(Tabela711[[#This Row],[Produtos]],Calculos!$F$4:$I$33,4,FALSE),"")</f>
        <v>Kg</v>
      </c>
      <c r="G6" s="38">
        <v>10</v>
      </c>
      <c r="H6" s="34">
        <f>IFERROR(VLOOKUP(Tabela711[[#This Row],[Produtos]],Calculos!$F$4:$I$33,3,FALSE),0)</f>
        <v>2.4900000000000002</v>
      </c>
      <c r="I6" s="34">
        <f>Tabela711[[#This Row],[Preço Unitário]]*Tabela711[[#This Row],[Quantidade]]</f>
        <v>24.900000000000002</v>
      </c>
      <c r="J6" s="39">
        <v>0.02</v>
      </c>
      <c r="K6" s="38" t="s">
        <v>123</v>
      </c>
      <c r="L6" s="34">
        <f>VLOOKUP(Tabela711[[#This Row],[Entrega]],Calculos!$A$5:$B$9,2,FALSE)</f>
        <v>6.5</v>
      </c>
      <c r="M6" s="3">
        <f>Tabela711[[#This Row],[SubTotal]]*(1-Tabela711[[#This Row],[Desconto]]+Tabela711[[#This Row],[Valor da Entrega]])</f>
        <v>186.25200000000004</v>
      </c>
      <c r="N6" s="3" t="str">
        <f>IF(Tabela711[[#This Row],[Id da Venda]]=C7,"",SUMIF(Tabela711[Id da Venda],Tabela711[[#This Row],[Id da Venda]],Tabela711[Total]))</f>
        <v/>
      </c>
    </row>
    <row r="7" spans="2:14" x14ac:dyDescent="0.25">
      <c r="C7" s="38">
        <v>13</v>
      </c>
      <c r="D7" s="40">
        <v>42190</v>
      </c>
      <c r="E7" s="38" t="s">
        <v>45</v>
      </c>
      <c r="F7" s="38" t="str">
        <f>IFERROR(VLOOKUP(Tabela711[[#This Row],[Produtos]],Calculos!$F$4:$I$33,4,FALSE),"")</f>
        <v>Pacote</v>
      </c>
      <c r="G7" s="38">
        <v>1</v>
      </c>
      <c r="H7" s="34">
        <f>IFERROR(VLOOKUP(Tabela711[[#This Row],[Produtos]],Calculos!$F$4:$I$33,3,FALSE),0)</f>
        <v>1.1499999999999999</v>
      </c>
      <c r="I7" s="34">
        <f>Tabela711[[#This Row],[Preço Unitário]]*Tabela711[[#This Row],[Quantidade]]</f>
        <v>1.1499999999999999</v>
      </c>
      <c r="J7" s="39"/>
      <c r="K7" s="38" t="s">
        <v>123</v>
      </c>
      <c r="L7" s="34">
        <f>VLOOKUP(Tabela711[[#This Row],[Entrega]],Calculos!$A$5:$B$9,2,FALSE)</f>
        <v>6.5</v>
      </c>
      <c r="M7" s="3">
        <f>Tabela711[[#This Row],[SubTotal]]*(1-Tabela711[[#This Row],[Desconto]]+Tabela711[[#This Row],[Valor da Entrega]])</f>
        <v>8.625</v>
      </c>
      <c r="N7" s="3" t="str">
        <f>IF(Tabela711[[#This Row],[Id da Venda]]=C8,"",SUMIF(Tabela711[Id da Venda],Tabela711[[#This Row],[Id da Venda]],Tabela711[Total]))</f>
        <v/>
      </c>
    </row>
    <row r="8" spans="2:14" x14ac:dyDescent="0.25">
      <c r="C8" s="38">
        <v>13</v>
      </c>
      <c r="D8" s="40">
        <v>42190</v>
      </c>
      <c r="E8" s="38" t="s">
        <v>33</v>
      </c>
      <c r="F8" s="38" t="str">
        <f>IFERROR(VLOOKUP(Tabela711[[#This Row],[Produtos]],Calculos!$F$4:$I$33,4,FALSE),"")</f>
        <v>Kg</v>
      </c>
      <c r="G8" s="38">
        <v>10</v>
      </c>
      <c r="H8" s="34">
        <f>IFERROR(VLOOKUP(Tabela711[[#This Row],[Produtos]],Calculos!$F$4:$I$33,3,FALSE),0)</f>
        <v>2.4900000000000002</v>
      </c>
      <c r="I8" s="34">
        <f>Tabela711[[#This Row],[Preço Unitário]]*Tabela711[[#This Row],[Quantidade]]</f>
        <v>24.900000000000002</v>
      </c>
      <c r="J8" s="39"/>
      <c r="K8" s="38" t="s">
        <v>119</v>
      </c>
      <c r="L8" s="34">
        <f>VLOOKUP(Tabela711[[#This Row],[Entrega]],Calculos!$A$5:$B$9,2,FALSE)</f>
        <v>5</v>
      </c>
      <c r="M8" s="3">
        <f>Tabela711[[#This Row],[SubTotal]]*(1-Tabela711[[#This Row],[Desconto]]+Tabela711[[#This Row],[Valor da Entrega]])</f>
        <v>149.4</v>
      </c>
      <c r="N8" s="3" t="str">
        <f>IF(Tabela711[[#This Row],[Id da Venda]]=C9,"",SUMIF(Tabela711[Id da Venda],Tabela711[[#This Row],[Id da Venda]],Tabela711[Total]))</f>
        <v/>
      </c>
    </row>
    <row r="9" spans="2:14" x14ac:dyDescent="0.25">
      <c r="C9" s="38">
        <v>13</v>
      </c>
      <c r="D9" s="40">
        <v>42190</v>
      </c>
      <c r="E9" s="38" t="s">
        <v>50</v>
      </c>
      <c r="F9" s="38" t="str">
        <f>IFERROR(VLOOKUP(Tabela711[[#This Row],[Produtos]],Calculos!$F$4:$I$33,4,FALSE),"")</f>
        <v>Pacote</v>
      </c>
      <c r="G9" s="38">
        <v>24</v>
      </c>
      <c r="H9" s="34">
        <f>IFERROR(VLOOKUP(Tabela711[[#This Row],[Produtos]],Calculos!$F$4:$I$33,3,FALSE),0)</f>
        <v>1.99</v>
      </c>
      <c r="I9" s="34">
        <f>Tabela711[[#This Row],[Preço Unitário]]*Tabela711[[#This Row],[Quantidade]]</f>
        <v>47.76</v>
      </c>
      <c r="J9" s="39"/>
      <c r="K9" s="38" t="s">
        <v>121</v>
      </c>
      <c r="L9" s="34">
        <f>VLOOKUP(Tabela711[[#This Row],[Entrega]],Calculos!$A$5:$B$9,2,FALSE)</f>
        <v>6.5</v>
      </c>
      <c r="M9" s="3">
        <f>Tabela711[[#This Row],[SubTotal]]*(1-Tabela711[[#This Row],[Desconto]]+Tabela711[[#This Row],[Valor da Entrega]])</f>
        <v>358.2</v>
      </c>
      <c r="N9" s="4">
        <f>IF(Tabela711[[#This Row],[Id da Venda]]=C10,"",SUMIF(Tabela711[Id da Venda],Tabela711[[#This Row],[Id da Venda]],Tabela711[Total]))</f>
        <v>702.47700000000009</v>
      </c>
    </row>
    <row r="10" spans="2:14" x14ac:dyDescent="0.25">
      <c r="C10" s="38">
        <v>12</v>
      </c>
      <c r="D10" s="40">
        <v>42189</v>
      </c>
      <c r="E10" s="38" t="s">
        <v>66</v>
      </c>
      <c r="F10" s="38" t="str">
        <f>IFERROR(VLOOKUP(Tabela711[[#This Row],[Produtos]],Calculos!$F$4:$I$33,4,FALSE),"")</f>
        <v>Pacote</v>
      </c>
      <c r="G10" s="38">
        <v>1</v>
      </c>
      <c r="H10" s="34">
        <f>IFERROR(VLOOKUP(Tabela711[[#This Row],[Produtos]],Calculos!$F$4:$I$33,3,FALSE),0)</f>
        <v>1.1499999999999999</v>
      </c>
      <c r="I10" s="34">
        <f>Tabela711[[#This Row],[Preço Unitário]]*Tabela711[[#This Row],[Quantidade]]</f>
        <v>1.1499999999999999</v>
      </c>
      <c r="J10" s="39">
        <v>0.05</v>
      </c>
      <c r="K10" s="38" t="s">
        <v>120</v>
      </c>
      <c r="L10" s="34">
        <f>VLOOKUP(Tabela711[[#This Row],[Entrega]],Calculos!$A$5:$B$9,2,FALSE)</f>
        <v>0</v>
      </c>
      <c r="M10" s="3">
        <f>Tabela711[[#This Row],[SubTotal]]*(1-Tabela711[[#This Row],[Desconto]]+Tabela711[[#This Row],[Valor da Entrega]])</f>
        <v>1.0924999999999998</v>
      </c>
      <c r="N10" s="4">
        <f>IF(Tabela711[[#This Row],[Id da Venda]]=C11,"",SUMIF(Tabela711[Id da Venda],Tabela711[[#This Row],[Id da Venda]],Tabela711[Total]))</f>
        <v>1.0924999999999998</v>
      </c>
    </row>
    <row r="11" spans="2:14" x14ac:dyDescent="0.25">
      <c r="C11" s="38">
        <v>11</v>
      </c>
      <c r="D11" s="40">
        <v>42189</v>
      </c>
      <c r="E11" s="38" t="s">
        <v>49</v>
      </c>
      <c r="F11" s="38" t="str">
        <f>IFERROR(VLOOKUP(Tabela711[[#This Row],[Produtos]],Calculos!$F$4:$I$33,4,FALSE),"")</f>
        <v>Pacote</v>
      </c>
      <c r="G11" s="38">
        <v>10</v>
      </c>
      <c r="H11" s="34">
        <f>IFERROR(VLOOKUP(Tabela711[[#This Row],[Produtos]],Calculos!$F$4:$I$33,3,FALSE),0)</f>
        <v>0.79</v>
      </c>
      <c r="I11" s="34">
        <f>Tabela711[[#This Row],[Preço Unitário]]*Tabela711[[#This Row],[Quantidade]]</f>
        <v>7.9</v>
      </c>
      <c r="J11" s="39"/>
      <c r="K11" s="38" t="s">
        <v>122</v>
      </c>
      <c r="L11" s="34">
        <f>VLOOKUP(Tabela711[[#This Row],[Entrega]],Calculos!$A$5:$B$9,2,FALSE)</f>
        <v>8</v>
      </c>
      <c r="M11" s="3">
        <f>Tabela711[[#This Row],[SubTotal]]*(1-Tabela711[[#This Row],[Desconto]]+Tabela711[[#This Row],[Valor da Entrega]])</f>
        <v>71.100000000000009</v>
      </c>
      <c r="N11" s="4">
        <f>IF(Tabela711[[#This Row],[Id da Venda]]=C12,"",SUMIF(Tabela711[Id da Venda],Tabela711[[#This Row],[Id da Venda]],Tabela711[Total]))</f>
        <v>71.100000000000009</v>
      </c>
    </row>
    <row r="12" spans="2:14" x14ac:dyDescent="0.25">
      <c r="C12" s="38">
        <v>10</v>
      </c>
      <c r="D12" s="40">
        <v>42189</v>
      </c>
      <c r="E12" s="38" t="s">
        <v>37</v>
      </c>
      <c r="F12" s="38" t="str">
        <f>IFERROR(VLOOKUP(Tabela711[[#This Row],[Produtos]],Calculos!$F$4:$I$33,4,FALSE),"")</f>
        <v>Kg</v>
      </c>
      <c r="G12" s="38">
        <v>6</v>
      </c>
      <c r="H12" s="34">
        <f>IFERROR(VLOOKUP(Tabela711[[#This Row],[Produtos]],Calculos!$F$4:$I$33,3,FALSE),0)</f>
        <v>15.9</v>
      </c>
      <c r="I12" s="34">
        <f>Tabela711[[#This Row],[Preço Unitário]]*Tabela711[[#This Row],[Quantidade]]</f>
        <v>95.4</v>
      </c>
      <c r="J12" s="39"/>
      <c r="K12" s="38" t="s">
        <v>119</v>
      </c>
      <c r="L12" s="34">
        <f>VLOOKUP(Tabela711[[#This Row],[Entrega]],Calculos!$A$5:$B$9,2,FALSE)</f>
        <v>5</v>
      </c>
      <c r="M12" s="3">
        <f>Tabela711[[#This Row],[SubTotal]]*(1-Tabela711[[#This Row],[Desconto]]+Tabela711[[#This Row],[Valor da Entrega]])</f>
        <v>572.40000000000009</v>
      </c>
      <c r="N12" s="4" t="str">
        <f>IF(Tabela711[[#This Row],[Id da Venda]]=C13,"",SUMIF(Tabela711[Id da Venda],Tabela711[[#This Row],[Id da Venda]],Tabela711[Total]))</f>
        <v/>
      </c>
    </row>
    <row r="13" spans="2:14" x14ac:dyDescent="0.25">
      <c r="C13" s="38">
        <v>10</v>
      </c>
      <c r="D13" s="40">
        <v>42189</v>
      </c>
      <c r="E13" s="38" t="s">
        <v>43</v>
      </c>
      <c r="F13" s="38" t="str">
        <f>IFERROR(VLOOKUP(Tabela711[[#This Row],[Produtos]],Calculos!$F$4:$I$33,4,FALSE),"")</f>
        <v>Kg</v>
      </c>
      <c r="G13" s="38">
        <v>4</v>
      </c>
      <c r="H13" s="34">
        <f>IFERROR(VLOOKUP(Tabela711[[#This Row],[Produtos]],Calculos!$F$4:$I$33,3,FALSE),0)</f>
        <v>3.99</v>
      </c>
      <c r="I13" s="34">
        <f>Tabela711[[#This Row],[Preço Unitário]]*Tabela711[[#This Row],[Quantidade]]</f>
        <v>15.96</v>
      </c>
      <c r="J13" s="39"/>
      <c r="K13" s="38" t="s">
        <v>120</v>
      </c>
      <c r="L13" s="34">
        <f>VLOOKUP(Tabela711[[#This Row],[Entrega]],Calculos!$A$5:$B$9,2,FALSE)</f>
        <v>0</v>
      </c>
      <c r="M13" s="3">
        <f>Tabela711[[#This Row],[SubTotal]]*(1-Tabela711[[#This Row],[Desconto]]+Tabela711[[#This Row],[Valor da Entrega]])</f>
        <v>15.96</v>
      </c>
      <c r="N13" s="4">
        <f>IF(Tabela711[[#This Row],[Id da Venda]]=C14,"",SUMIF(Tabela711[Id da Venda],Tabela711[[#This Row],[Id da Venda]],Tabela711[Total]))</f>
        <v>588.36000000000013</v>
      </c>
    </row>
    <row r="14" spans="2:14" x14ac:dyDescent="0.25">
      <c r="C14" s="38">
        <v>9</v>
      </c>
      <c r="D14" s="40">
        <v>42188</v>
      </c>
      <c r="E14" s="38" t="s">
        <v>46</v>
      </c>
      <c r="F14" s="38" t="str">
        <f>IFERROR(VLOOKUP(Tabela711[[#This Row],[Produtos]],Calculos!$F$4:$I$33,4,FALSE),"")</f>
        <v>Lata</v>
      </c>
      <c r="G14" s="38">
        <v>5</v>
      </c>
      <c r="H14" s="34">
        <f>IFERROR(VLOOKUP(Tabela711[[#This Row],[Produtos]],Calculos!$F$4:$I$33,3,FALSE),0)</f>
        <v>2.19</v>
      </c>
      <c r="I14" s="34">
        <f>Tabela711[[#This Row],[Preço Unitário]]*Tabela711[[#This Row],[Quantidade]]</f>
        <v>10.95</v>
      </c>
      <c r="J14" s="39">
        <v>0.12</v>
      </c>
      <c r="K14" s="38" t="s">
        <v>121</v>
      </c>
      <c r="L14" s="34">
        <f>VLOOKUP(Tabela711[[#This Row],[Entrega]],Calculos!$A$5:$B$9,2,FALSE)</f>
        <v>6.5</v>
      </c>
      <c r="M14" s="3">
        <f>Tabela711[[#This Row],[SubTotal]]*(1-Tabela711[[#This Row],[Desconto]]+Tabela711[[#This Row],[Valor da Entrega]])</f>
        <v>80.810999999999993</v>
      </c>
      <c r="N14" s="4" t="str">
        <f>IF(Tabela711[[#This Row],[Id da Venda]]=C15,"",SUMIF(Tabela711[Id da Venda],Tabela711[[#This Row],[Id da Venda]],Tabela711[Total]))</f>
        <v/>
      </c>
    </row>
    <row r="15" spans="2:14" x14ac:dyDescent="0.25">
      <c r="C15" s="38">
        <v>9</v>
      </c>
      <c r="D15" s="40">
        <v>42188</v>
      </c>
      <c r="E15" s="38" t="s">
        <v>70</v>
      </c>
      <c r="F15" s="38" t="str">
        <f>IFERROR(VLOOKUP(Tabela711[[#This Row],[Produtos]],Calculos!$F$4:$I$33,4,FALSE),"")</f>
        <v>Barra</v>
      </c>
      <c r="G15" s="38">
        <v>2</v>
      </c>
      <c r="H15" s="34">
        <f>IFERROR(VLOOKUP(Tabela711[[#This Row],[Produtos]],Calculos!$F$4:$I$33,3,FALSE),0)</f>
        <v>4.99</v>
      </c>
      <c r="I15" s="34">
        <f>Tabela711[[#This Row],[Preço Unitário]]*Tabela711[[#This Row],[Quantidade]]</f>
        <v>9.98</v>
      </c>
      <c r="J15" s="39"/>
      <c r="K15" s="38" t="s">
        <v>123</v>
      </c>
      <c r="L15" s="34">
        <f>VLOOKUP(Tabela711[[#This Row],[Entrega]],Calculos!$A$5:$B$9,2,FALSE)</f>
        <v>6.5</v>
      </c>
      <c r="M15" s="3">
        <f>Tabela711[[#This Row],[SubTotal]]*(1-Tabela711[[#This Row],[Desconto]]+Tabela711[[#This Row],[Valor da Entrega]])</f>
        <v>74.850000000000009</v>
      </c>
      <c r="N15" s="4" t="str">
        <f>IF(Tabela711[[#This Row],[Id da Venda]]=C16,"",SUMIF(Tabela711[Id da Venda],Tabela711[[#This Row],[Id da Venda]],Tabela711[Total]))</f>
        <v/>
      </c>
    </row>
    <row r="16" spans="2:14" x14ac:dyDescent="0.25">
      <c r="C16" s="38">
        <v>9</v>
      </c>
      <c r="D16" s="40">
        <v>42188</v>
      </c>
      <c r="E16" s="38" t="s">
        <v>72</v>
      </c>
      <c r="F16" s="38" t="str">
        <f>IFERROR(VLOOKUP(Tabela711[[#This Row],[Produtos]],Calculos!$F$4:$I$33,4,FALSE),"")</f>
        <v>Maço</v>
      </c>
      <c r="G16" s="38">
        <v>1.5</v>
      </c>
      <c r="H16" s="34">
        <f>IFERROR(VLOOKUP(Tabela711[[#This Row],[Produtos]],Calculos!$F$4:$I$33,3,FALSE),0)</f>
        <v>6.75</v>
      </c>
      <c r="I16" s="34">
        <f>Tabela711[[#This Row],[Preço Unitário]]*Tabela711[[#This Row],[Quantidade]]</f>
        <v>10.125</v>
      </c>
      <c r="J16" s="39"/>
      <c r="K16" s="38" t="s">
        <v>122</v>
      </c>
      <c r="L16" s="34">
        <f>VLOOKUP(Tabela711[[#This Row],[Entrega]],Calculos!$A$5:$B$9,2,FALSE)</f>
        <v>8</v>
      </c>
      <c r="M16" s="3">
        <f>Tabela711[[#This Row],[SubTotal]]*(1-Tabela711[[#This Row],[Desconto]]+Tabela711[[#This Row],[Valor da Entrega]])</f>
        <v>91.125</v>
      </c>
      <c r="N16" s="4" t="str">
        <f>IF(Tabela711[[#This Row],[Id da Venda]]=C17,"",SUMIF(Tabela711[Id da Venda],Tabela711[[#This Row],[Id da Venda]],Tabela711[Total]))</f>
        <v/>
      </c>
    </row>
    <row r="17" spans="3:14" x14ac:dyDescent="0.25">
      <c r="C17" s="38">
        <v>9</v>
      </c>
      <c r="D17" s="40">
        <v>42188</v>
      </c>
      <c r="E17" s="38" t="s">
        <v>48</v>
      </c>
      <c r="F17" s="38" t="str">
        <f>IFERROR(VLOOKUP(Tabela711[[#This Row],[Produtos]],Calculos!$F$4:$I$33,4,FALSE),"")</f>
        <v>Unidade</v>
      </c>
      <c r="G17" s="38">
        <v>4</v>
      </c>
      <c r="H17" s="34">
        <f>IFERROR(VLOOKUP(Tabela711[[#This Row],[Produtos]],Calculos!$F$4:$I$33,3,FALSE),0)</f>
        <v>2.6</v>
      </c>
      <c r="I17" s="34">
        <f>Tabela711[[#This Row],[Preço Unitário]]*Tabela711[[#This Row],[Quantidade]]</f>
        <v>10.4</v>
      </c>
      <c r="J17" s="39"/>
      <c r="K17" s="38" t="s">
        <v>119</v>
      </c>
      <c r="L17" s="34">
        <f>VLOOKUP(Tabela711[[#This Row],[Entrega]],Calculos!$A$5:$B$9,2,FALSE)</f>
        <v>5</v>
      </c>
      <c r="M17" s="3">
        <f>Tabela711[[#This Row],[SubTotal]]*(1-Tabela711[[#This Row],[Desconto]]+Tabela711[[#This Row],[Valor da Entrega]])</f>
        <v>62.400000000000006</v>
      </c>
      <c r="N17" s="4">
        <f>IF(Tabela711[[#This Row],[Id da Venda]]=C18,"",SUMIF(Tabela711[Id da Venda],Tabela711[[#This Row],[Id da Venda]],Tabela711[Total]))</f>
        <v>309.18600000000004</v>
      </c>
    </row>
    <row r="18" spans="3:14" x14ac:dyDescent="0.25">
      <c r="C18" s="38">
        <v>8</v>
      </c>
      <c r="D18" s="40">
        <v>42188</v>
      </c>
      <c r="E18" s="38" t="s">
        <v>34</v>
      </c>
      <c r="F18" s="38" t="str">
        <f>IFERROR(VLOOKUP(Tabela711[[#This Row],[Produtos]],Calculos!$F$4:$I$33,4,FALSE),"")</f>
        <v>Kg</v>
      </c>
      <c r="G18" s="38">
        <v>20</v>
      </c>
      <c r="H18" s="34">
        <f>IFERROR(VLOOKUP(Tabela711[[#This Row],[Produtos]],Calculos!$F$4:$I$33,3,FALSE),0)</f>
        <v>4.28</v>
      </c>
      <c r="I18" s="34">
        <f>Tabela711[[#This Row],[Preço Unitário]]*Tabela711[[#This Row],[Quantidade]]</f>
        <v>85.600000000000009</v>
      </c>
      <c r="J18" s="39">
        <v>0.05</v>
      </c>
      <c r="K18" s="38" t="s">
        <v>120</v>
      </c>
      <c r="L18" s="34">
        <f>VLOOKUP(Tabela711[[#This Row],[Entrega]],Calculos!$A$5:$B$9,2,FALSE)</f>
        <v>0</v>
      </c>
      <c r="M18" s="3">
        <f>Tabela711[[#This Row],[SubTotal]]*(1-Tabela711[[#This Row],[Desconto]]+Tabela711[[#This Row],[Valor da Entrega]])</f>
        <v>81.320000000000007</v>
      </c>
      <c r="N18" s="4">
        <f>IF(Tabela711[[#This Row],[Id da Venda]]=C19,"",SUMIF(Tabela711[Id da Venda],Tabela711[[#This Row],[Id da Venda]],Tabela711[Total]))</f>
        <v>81.320000000000007</v>
      </c>
    </row>
    <row r="19" spans="3:14" x14ac:dyDescent="0.25">
      <c r="C19" s="38">
        <v>7</v>
      </c>
      <c r="D19" s="40">
        <v>42188</v>
      </c>
      <c r="E19" s="38" t="s">
        <v>38</v>
      </c>
      <c r="F19" s="38" t="str">
        <f>IFERROR(VLOOKUP(Tabela711[[#This Row],[Produtos]],Calculos!$F$4:$I$33,4,FALSE),"")</f>
        <v>Kg</v>
      </c>
      <c r="G19" s="38">
        <v>20</v>
      </c>
      <c r="H19" s="34">
        <f>IFERROR(VLOOKUP(Tabela711[[#This Row],[Produtos]],Calculos!$F$4:$I$33,3,FALSE),0)</f>
        <v>6.98</v>
      </c>
      <c r="I19" s="34">
        <f>Tabela711[[#This Row],[Preço Unitário]]*Tabela711[[#This Row],[Quantidade]]</f>
        <v>139.60000000000002</v>
      </c>
      <c r="J19" s="39"/>
      <c r="K19" s="38" t="s">
        <v>121</v>
      </c>
      <c r="L19" s="34">
        <f>VLOOKUP(Tabela711[[#This Row],[Entrega]],Calculos!$A$5:$B$9,2,FALSE)</f>
        <v>6.5</v>
      </c>
      <c r="M19" s="3">
        <f>Tabela711[[#This Row],[SubTotal]]*(1-Tabela711[[#This Row],[Desconto]]+Tabela711[[#This Row],[Valor da Entrega]])</f>
        <v>1047.0000000000002</v>
      </c>
      <c r="N19" s="4">
        <f>IF(Tabela711[[#This Row],[Id da Venda]]=C20,"",SUMIF(Tabela711[Id da Venda],Tabela711[[#This Row],[Id da Venda]],Tabela711[Total]))</f>
        <v>1047.0000000000002</v>
      </c>
    </row>
    <row r="20" spans="3:14" x14ac:dyDescent="0.25">
      <c r="C20" s="38">
        <v>6</v>
      </c>
      <c r="D20" s="40">
        <v>42188</v>
      </c>
      <c r="E20" s="38" t="s">
        <v>67</v>
      </c>
      <c r="F20" s="38" t="str">
        <f>IFERROR(VLOOKUP(Tabela711[[#This Row],[Produtos]],Calculos!$F$4:$I$33,4,FALSE),"")</f>
        <v>Litro</v>
      </c>
      <c r="G20" s="38">
        <v>2</v>
      </c>
      <c r="H20" s="34">
        <f>IFERROR(VLOOKUP(Tabela711[[#This Row],[Produtos]],Calculos!$F$4:$I$33,3,FALSE),0)</f>
        <v>1.49</v>
      </c>
      <c r="I20" s="34">
        <f>Tabela711[[#This Row],[Preço Unitário]]*Tabela711[[#This Row],[Quantidade]]</f>
        <v>2.98</v>
      </c>
      <c r="J20" s="39"/>
      <c r="K20" s="38" t="s">
        <v>122</v>
      </c>
      <c r="L20" s="34">
        <f>VLOOKUP(Tabela711[[#This Row],[Entrega]],Calculos!$A$5:$B$9,2,FALSE)</f>
        <v>8</v>
      </c>
      <c r="M20" s="3">
        <f>Tabela711[[#This Row],[SubTotal]]*(1-Tabela711[[#This Row],[Desconto]]+Tabela711[[#This Row],[Valor da Entrega]])</f>
        <v>26.82</v>
      </c>
      <c r="N20" s="4" t="str">
        <f>IF(Tabela711[[#This Row],[Id da Venda]]=C21,"",SUMIF(Tabela711[Id da Venda],Tabela711[[#This Row],[Id da Venda]],Tabela711[Total]))</f>
        <v/>
      </c>
    </row>
    <row r="21" spans="3:14" x14ac:dyDescent="0.25">
      <c r="C21" s="38">
        <v>6</v>
      </c>
      <c r="D21" s="40">
        <v>42188</v>
      </c>
      <c r="E21" s="38" t="s">
        <v>74</v>
      </c>
      <c r="F21" s="38" t="str">
        <f>IFERROR(VLOOKUP(Tabela711[[#This Row],[Produtos]],Calculos!$F$4:$I$33,4,FALSE),"")</f>
        <v>Unidade</v>
      </c>
      <c r="G21" s="38">
        <v>6</v>
      </c>
      <c r="H21" s="34">
        <f>IFERROR(VLOOKUP(Tabela711[[#This Row],[Produtos]],Calculos!$F$4:$I$33,3,FALSE),0)</f>
        <v>2.89</v>
      </c>
      <c r="I21" s="34">
        <f>Tabela711[[#This Row],[Preço Unitário]]*Tabela711[[#This Row],[Quantidade]]</f>
        <v>17.34</v>
      </c>
      <c r="J21" s="39"/>
      <c r="K21" s="38" t="s">
        <v>123</v>
      </c>
      <c r="L21" s="34">
        <f>VLOOKUP(Tabela711[[#This Row],[Entrega]],Calculos!$A$5:$B$9,2,FALSE)</f>
        <v>6.5</v>
      </c>
      <c r="M21" s="3">
        <f>Tabela711[[#This Row],[SubTotal]]*(1-Tabela711[[#This Row],[Desconto]]+Tabela711[[#This Row],[Valor da Entrega]])</f>
        <v>130.05000000000001</v>
      </c>
      <c r="N21" s="4" t="str">
        <f>IF(Tabela711[[#This Row],[Id da Venda]]=C22,"",SUMIF(Tabela711[Id da Venda],Tabela711[[#This Row],[Id da Venda]],Tabela711[Total]))</f>
        <v/>
      </c>
    </row>
    <row r="22" spans="3:14" x14ac:dyDescent="0.25">
      <c r="C22" s="38">
        <v>6</v>
      </c>
      <c r="D22" s="40">
        <v>42188</v>
      </c>
      <c r="E22" s="38" t="s">
        <v>39</v>
      </c>
      <c r="F22" s="38" t="str">
        <f>IFERROR(VLOOKUP(Tabela711[[#This Row],[Produtos]],Calculos!$F$4:$I$33,4,FALSE),"")</f>
        <v>Kg</v>
      </c>
      <c r="G22" s="38">
        <v>12</v>
      </c>
      <c r="H22" s="34">
        <f>IFERROR(VLOOKUP(Tabela711[[#This Row],[Produtos]],Calculos!$F$4:$I$33,3,FALSE),0)</f>
        <v>23.9</v>
      </c>
      <c r="I22" s="34">
        <f>Tabela711[[#This Row],[Preço Unitário]]*Tabela711[[#This Row],[Quantidade]]</f>
        <v>286.79999999999995</v>
      </c>
      <c r="J22" s="39"/>
      <c r="K22" s="38" t="s">
        <v>119</v>
      </c>
      <c r="L22" s="34">
        <f>VLOOKUP(Tabela711[[#This Row],[Entrega]],Calculos!$A$5:$B$9,2,FALSE)</f>
        <v>5</v>
      </c>
      <c r="M22" s="3">
        <f>Tabela711[[#This Row],[SubTotal]]*(1-Tabela711[[#This Row],[Desconto]]+Tabela711[[#This Row],[Valor da Entrega]])</f>
        <v>1720.7999999999997</v>
      </c>
      <c r="N22" s="4">
        <f>IF(Tabela711[[#This Row],[Id da Venda]]=C23,"",SUMIF(Tabela711[Id da Venda],Tabela711[[#This Row],[Id da Venda]],Tabela711[Total]))</f>
        <v>1877.6699999999996</v>
      </c>
    </row>
    <row r="23" spans="3:14" x14ac:dyDescent="0.25">
      <c r="C23" s="38">
        <v>5</v>
      </c>
      <c r="D23" s="40">
        <v>42187</v>
      </c>
      <c r="E23" s="38" t="s">
        <v>40</v>
      </c>
      <c r="F23" s="38" t="str">
        <f>IFERROR(VLOOKUP(Tabela711[[#This Row],[Produtos]],Calculos!$F$4:$I$33,4,FALSE),"")</f>
        <v>Kg</v>
      </c>
      <c r="G23" s="38">
        <v>3</v>
      </c>
      <c r="H23" s="34">
        <f>IFERROR(VLOOKUP(Tabela711[[#This Row],[Produtos]],Calculos!$F$4:$I$33,3,FALSE),0)</f>
        <v>25.9</v>
      </c>
      <c r="I23" s="34">
        <f>Tabela711[[#This Row],[Preço Unitário]]*Tabela711[[#This Row],[Quantidade]]</f>
        <v>77.699999999999989</v>
      </c>
      <c r="J23" s="39"/>
      <c r="K23" s="38" t="s">
        <v>120</v>
      </c>
      <c r="L23" s="34">
        <f>VLOOKUP(Tabela711[[#This Row],[Entrega]],Calculos!$A$5:$B$9,2,FALSE)</f>
        <v>0</v>
      </c>
      <c r="M23" s="3">
        <f>Tabela711[[#This Row],[SubTotal]]*(1-Tabela711[[#This Row],[Desconto]]+Tabela711[[#This Row],[Valor da Entrega]])</f>
        <v>77.699999999999989</v>
      </c>
      <c r="N23" s="4">
        <f>IF(Tabela711[[#This Row],[Id da Venda]]=C24,"",SUMIF(Tabela711[Id da Venda],Tabela711[[#This Row],[Id da Venda]],Tabela711[Total]))</f>
        <v>77.699999999999989</v>
      </c>
    </row>
    <row r="24" spans="3:14" x14ac:dyDescent="0.25">
      <c r="C24" s="38">
        <v>4</v>
      </c>
      <c r="D24" s="40">
        <v>42187</v>
      </c>
      <c r="E24" s="38" t="s">
        <v>75</v>
      </c>
      <c r="F24" s="38" t="str">
        <f>IFERROR(VLOOKUP(Tabela711[[#This Row],[Produtos]],Calculos!$F$4:$I$33,4,FALSE),"")</f>
        <v>Litro</v>
      </c>
      <c r="G24" s="38">
        <v>2</v>
      </c>
      <c r="H24" s="34">
        <f>IFERROR(VLOOKUP(Tabela711[[#This Row],[Produtos]],Calculos!$F$4:$I$33,3,FALSE),0)</f>
        <v>2.39</v>
      </c>
      <c r="I24" s="34">
        <f>Tabela711[[#This Row],[Preço Unitário]]*Tabela711[[#This Row],[Quantidade]]</f>
        <v>4.78</v>
      </c>
      <c r="J24" s="39">
        <v>0.1</v>
      </c>
      <c r="K24" s="38" t="s">
        <v>121</v>
      </c>
      <c r="L24" s="34">
        <f>VLOOKUP(Tabela711[[#This Row],[Entrega]],Calculos!$A$5:$B$9,2,FALSE)</f>
        <v>6.5</v>
      </c>
      <c r="M24" s="3">
        <f>Tabela711[[#This Row],[SubTotal]]*(1-Tabela711[[#This Row],[Desconto]]+Tabela711[[#This Row],[Valor da Entrega]])</f>
        <v>35.372000000000007</v>
      </c>
      <c r="N24" s="4" t="str">
        <f>IF(Tabela711[[#This Row],[Id da Venda]]=C25,"",SUMIF(Tabela711[Id da Venda],Tabela711[[#This Row],[Id da Venda]],Tabela711[Total]))</f>
        <v/>
      </c>
    </row>
    <row r="25" spans="3:14" x14ac:dyDescent="0.25">
      <c r="C25" s="38">
        <v>4</v>
      </c>
      <c r="D25" s="40">
        <v>42187</v>
      </c>
      <c r="E25" s="38" t="s">
        <v>42</v>
      </c>
      <c r="F25" s="38" t="str">
        <f>IFERROR(VLOOKUP(Tabela711[[#This Row],[Produtos]],Calculos!$F$4:$I$33,4,FALSE),"")</f>
        <v>Litro</v>
      </c>
      <c r="G25" s="38">
        <v>5</v>
      </c>
      <c r="H25" s="34">
        <f>IFERROR(VLOOKUP(Tabela711[[#This Row],[Produtos]],Calculos!$F$4:$I$33,3,FALSE),0)</f>
        <v>3.45</v>
      </c>
      <c r="I25" s="34">
        <f>Tabela711[[#This Row],[Preço Unitário]]*Tabela711[[#This Row],[Quantidade]]</f>
        <v>17.25</v>
      </c>
      <c r="J25" s="39"/>
      <c r="K25" s="38" t="s">
        <v>122</v>
      </c>
      <c r="L25" s="34">
        <f>VLOOKUP(Tabela711[[#This Row],[Entrega]],Calculos!$A$5:$B$9,2,FALSE)</f>
        <v>8</v>
      </c>
      <c r="M25" s="3">
        <f>Tabela711[[#This Row],[SubTotal]]*(1-Tabela711[[#This Row],[Desconto]]+Tabela711[[#This Row],[Valor da Entrega]])</f>
        <v>155.25</v>
      </c>
      <c r="N25" s="4">
        <f>IF(Tabela711[[#This Row],[Id da Venda]]=C26,"",SUMIF(Tabela711[Id da Venda],Tabela711[[#This Row],[Id da Venda]],Tabela711[Total]))</f>
        <v>190.62200000000001</v>
      </c>
    </row>
    <row r="26" spans="3:14" x14ac:dyDescent="0.25">
      <c r="C26" s="38">
        <v>3</v>
      </c>
      <c r="D26" s="40">
        <v>42187</v>
      </c>
      <c r="E26" s="38" t="s">
        <v>35</v>
      </c>
      <c r="F26" s="38" t="str">
        <f>IFERROR(VLOOKUP(Tabela711[[#This Row],[Produtos]],Calculos!$F$4:$I$33,4,FALSE),"")</f>
        <v>Kg</v>
      </c>
      <c r="G26" s="38">
        <v>6</v>
      </c>
      <c r="H26" s="34">
        <f>IFERROR(VLOOKUP(Tabela711[[#This Row],[Produtos]],Calculos!$F$4:$I$33,3,FALSE),0)</f>
        <v>5.82</v>
      </c>
      <c r="I26" s="34">
        <f>Tabela711[[#This Row],[Preço Unitário]]*Tabela711[[#This Row],[Quantidade]]</f>
        <v>34.92</v>
      </c>
      <c r="J26" s="39"/>
      <c r="K26" s="38" t="s">
        <v>123</v>
      </c>
      <c r="L26" s="34">
        <f>VLOOKUP(Tabela711[[#This Row],[Entrega]],Calculos!$A$5:$B$9,2,FALSE)</f>
        <v>6.5</v>
      </c>
      <c r="M26" s="3">
        <f>Tabela711[[#This Row],[SubTotal]]*(1-Tabela711[[#This Row],[Desconto]]+Tabela711[[#This Row],[Valor da Entrega]])</f>
        <v>261.90000000000003</v>
      </c>
      <c r="N26" s="4">
        <f>IF(Tabela711[[#This Row],[Id da Venda]]=C27,"",SUMIF(Tabela711[Id da Venda],Tabela711[[#This Row],[Id da Venda]],Tabela711[Total]))</f>
        <v>261.90000000000003</v>
      </c>
    </row>
    <row r="27" spans="3:14" x14ac:dyDescent="0.25">
      <c r="C27" s="38">
        <v>2</v>
      </c>
      <c r="D27" s="40">
        <v>42187</v>
      </c>
      <c r="E27" s="38" t="s">
        <v>44</v>
      </c>
      <c r="F27" s="38" t="str">
        <f>IFERROR(VLOOKUP(Tabela711[[#This Row],[Produtos]],Calculos!$F$4:$I$33,4,FALSE),"")</f>
        <v>Kg</v>
      </c>
      <c r="G27" s="38">
        <v>1</v>
      </c>
      <c r="H27" s="34">
        <f>IFERROR(VLOOKUP(Tabela711[[#This Row],[Produtos]],Calculos!$F$4:$I$33,3,FALSE),0)</f>
        <v>9.58</v>
      </c>
      <c r="I27" s="34">
        <f>Tabela711[[#This Row],[Preço Unitário]]*Tabela711[[#This Row],[Quantidade]]</f>
        <v>9.58</v>
      </c>
      <c r="J27" s="39"/>
      <c r="K27" s="38" t="s">
        <v>119</v>
      </c>
      <c r="L27" s="34">
        <f>VLOOKUP(Tabela711[[#This Row],[Entrega]],Calculos!$A$5:$B$9,2,FALSE)</f>
        <v>5</v>
      </c>
      <c r="M27" s="3">
        <f>Tabela711[[#This Row],[SubTotal]]*(1-Tabela711[[#This Row],[Desconto]]+Tabela711[[#This Row],[Valor da Entrega]])</f>
        <v>57.480000000000004</v>
      </c>
      <c r="N27" s="4">
        <f>IF(Tabela711[[#This Row],[Id da Venda]]=C28,"",SUMIF(Tabela711[Id da Venda],Tabela711[[#This Row],[Id da Venda]],Tabela711[Total]))</f>
        <v>57.480000000000004</v>
      </c>
    </row>
    <row r="28" spans="3:14" x14ac:dyDescent="0.25">
      <c r="C28" s="38">
        <v>1</v>
      </c>
      <c r="D28" s="40">
        <v>42187</v>
      </c>
      <c r="E28" s="38" t="s">
        <v>41</v>
      </c>
      <c r="F28" s="38" t="str">
        <f>IFERROR(VLOOKUP(Tabela711[[#This Row],[Produtos]],Calculos!$F$4:$I$33,4,FALSE),"")</f>
        <v>Garrafa</v>
      </c>
      <c r="G28" s="38">
        <v>2</v>
      </c>
      <c r="H28" s="34">
        <f>IFERROR(VLOOKUP(Tabela711[[#This Row],[Produtos]],Calculos!$F$4:$I$33,3,FALSE),0)</f>
        <v>29.9</v>
      </c>
      <c r="I28" s="34">
        <f>Tabela711[[#This Row],[Preço Unitário]]*Tabela711[[#This Row],[Quantidade]]</f>
        <v>59.8</v>
      </c>
      <c r="J28" s="39"/>
      <c r="K28" s="38" t="s">
        <v>120</v>
      </c>
      <c r="L28" s="34">
        <f>VLOOKUP(Tabela711[[#This Row],[Entrega]],Calculos!$A$5:$B$9,2,FALSE)</f>
        <v>0</v>
      </c>
      <c r="M28" s="3">
        <f>Tabela711[[#This Row],[SubTotal]]*(1-Tabela711[[#This Row],[Desconto]]+Tabela711[[#This Row],[Valor da Entrega]])</f>
        <v>59.8</v>
      </c>
      <c r="N28" s="4" t="str">
        <f>IF(Tabela711[[#This Row],[Id da Venda]]=C29,"",SUMIF(Tabela711[Id da Venda],Tabela711[[#This Row],[Id da Venda]],Tabela711[Total]))</f>
        <v/>
      </c>
    </row>
    <row r="29" spans="3:14" x14ac:dyDescent="0.25">
      <c r="C29" s="38">
        <v>1</v>
      </c>
      <c r="D29" s="40">
        <v>42187</v>
      </c>
      <c r="E29" s="38" t="s">
        <v>47</v>
      </c>
      <c r="F29" s="38" t="str">
        <f>IFERROR(VLOOKUP(Tabela711[[#This Row],[Produtos]],Calculos!$F$4:$I$33,4,FALSE),"")</f>
        <v>Garrafa</v>
      </c>
      <c r="G29" s="38">
        <v>3</v>
      </c>
      <c r="H29" s="34">
        <f>IFERROR(VLOOKUP(Tabela711[[#This Row],[Produtos]],Calculos!$F$4:$I$33,3,FALSE),0)</f>
        <v>54.9</v>
      </c>
      <c r="I29" s="34">
        <f>Tabela711[[#This Row],[Preço Unitário]]*Tabela711[[#This Row],[Quantidade]]</f>
        <v>164.7</v>
      </c>
      <c r="J29" s="39">
        <v>7.0000000000000007E-2</v>
      </c>
      <c r="K29" s="38" t="s">
        <v>121</v>
      </c>
      <c r="L29" s="34">
        <f>VLOOKUP(Tabela711[[#This Row],[Entrega]],Calculos!$A$5:$B$9,2,FALSE)</f>
        <v>6.5</v>
      </c>
      <c r="M29" s="3">
        <f>Tabela711[[#This Row],[SubTotal]]*(1-Tabela711[[#This Row],[Desconto]]+Tabela711[[#This Row],[Valor da Entrega]])</f>
        <v>1223.7209999999998</v>
      </c>
      <c r="N29" s="4" t="str">
        <f>IF(Tabela711[[#This Row],[Id da Venda]]=C30,"",SUMIF(Tabela711[Id da Venda],Tabela711[[#This Row],[Id da Venda]],Tabela711[Total]))</f>
        <v/>
      </c>
    </row>
    <row r="30" spans="3:14" x14ac:dyDescent="0.25">
      <c r="C30" s="38">
        <v>1</v>
      </c>
      <c r="D30" s="40">
        <v>42187</v>
      </c>
      <c r="E30" s="38" t="s">
        <v>36</v>
      </c>
      <c r="F30" s="38" t="str">
        <f>IFERROR(VLOOKUP(Tabela711[[#This Row],[Produtos]],Calculos!$F$4:$I$33,4,FALSE),"")</f>
        <v>Unidade</v>
      </c>
      <c r="G30" s="38">
        <v>1</v>
      </c>
      <c r="H30" s="34">
        <f>IFERROR(VLOOKUP(Tabela711[[#This Row],[Produtos]],Calculos!$F$4:$I$33,3,FALSE),0)</f>
        <v>2.99</v>
      </c>
      <c r="I30" s="34">
        <f>Tabela711[[#This Row],[Preço Unitário]]*Tabela711[[#This Row],[Quantidade]]</f>
        <v>2.99</v>
      </c>
      <c r="J30" s="39"/>
      <c r="K30" s="38" t="s">
        <v>122</v>
      </c>
      <c r="L30" s="34">
        <f>VLOOKUP(Tabela711[[#This Row],[Entrega]],Calculos!$A$5:$B$9,2,FALSE)</f>
        <v>8</v>
      </c>
      <c r="M30" s="3">
        <f>Tabela711[[#This Row],[SubTotal]]*(1-Tabela711[[#This Row],[Desconto]]+Tabela711[[#This Row],[Valor da Entrega]])</f>
        <v>26.910000000000004</v>
      </c>
      <c r="N30" s="4">
        <f>IF(Tabela711[[#This Row],[Id da Venda]]=C31,"",SUMIF(Tabela711[Id da Venda],Tabela711[[#This Row],[Id da Venda]],Tabela711[Total]))</f>
        <v>1310.4309999999998</v>
      </c>
    </row>
    <row r="34" spans="3:14" ht="26.25" x14ac:dyDescent="0.4">
      <c r="C34" s="60" t="s">
        <v>124</v>
      </c>
      <c r="D34" s="60"/>
      <c r="E34" s="60"/>
      <c r="F34" s="60"/>
      <c r="G34" s="60"/>
      <c r="M34" s="61">
        <f>SUM(Tabela711[Total Cliente])</f>
        <v>6576.3384999999989</v>
      </c>
      <c r="N34" s="61"/>
    </row>
    <row r="36" spans="3:14" x14ac:dyDescent="0.25">
      <c r="C36" s="60" t="s">
        <v>125</v>
      </c>
      <c r="D36" s="62"/>
      <c r="E36" s="62"/>
      <c r="F36" s="62"/>
      <c r="G36" s="62"/>
      <c r="M36" s="61">
        <f>SUM(Tabela711[Valor da Entrega])</f>
        <v>130</v>
      </c>
      <c r="N36" s="61"/>
    </row>
    <row r="37" spans="3:14" x14ac:dyDescent="0.25">
      <c r="C37" s="62"/>
      <c r="D37" s="62"/>
      <c r="E37" s="62"/>
      <c r="F37" s="62"/>
      <c r="G37" s="62"/>
      <c r="M37" s="61"/>
      <c r="N37" s="61"/>
    </row>
    <row r="39" spans="3:14" x14ac:dyDescent="0.25">
      <c r="C39" s="60" t="s">
        <v>139</v>
      </c>
      <c r="D39" s="62"/>
      <c r="E39" s="62"/>
      <c r="F39" s="62"/>
      <c r="G39" s="62"/>
      <c r="M39" s="59">
        <f>SUM(IF(FREQUENCY(Tabela711[Id da Venda],Tabela711[Id da Venda])&gt;0,1,0))</f>
        <v>13</v>
      </c>
      <c r="N39" s="59"/>
    </row>
    <row r="40" spans="3:14" x14ac:dyDescent="0.25">
      <c r="C40" s="62"/>
      <c r="D40" s="62"/>
      <c r="E40" s="62"/>
      <c r="F40" s="62"/>
      <c r="G40" s="62"/>
      <c r="M40" s="59"/>
      <c r="N40" s="59"/>
    </row>
  </sheetData>
  <mergeCells count="6">
    <mergeCell ref="C34:G34"/>
    <mergeCell ref="M34:N34"/>
    <mergeCell ref="C36:G37"/>
    <mergeCell ref="M36:N37"/>
    <mergeCell ref="C39:G40"/>
    <mergeCell ref="M39:N40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8B147B-582E-433E-BF37-F496D708BB2A}">
          <x14:formula1>
            <xm:f>Calculos!$A$5:$A$9</xm:f>
          </x14:formula1>
          <xm:sqref>K6:K30</xm:sqref>
        </x14:dataValidation>
        <x14:dataValidation type="list" allowBlank="1" showInputMessage="1" showErrorMessage="1" xr:uid="{D2753F6B-1C5B-4F3E-A02B-ED57099B6AE8}">
          <x14:formula1>
            <xm:f>Calculos!$F$4:$F$30</xm:f>
          </x14:formula1>
          <xm:sqref>E6:E30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11862-A1BD-4CA5-8E86-40C9445C953A}">
  <dimension ref="A3:H32"/>
  <sheetViews>
    <sheetView topLeftCell="B1" workbookViewId="0">
      <selection activeCell="F16" sqref="F16"/>
    </sheetView>
  </sheetViews>
  <sheetFormatPr defaultRowHeight="15" x14ac:dyDescent="0.25"/>
  <cols>
    <col min="1" max="1" width="19.42578125" style="73" bestFit="1" customWidth="1"/>
    <col min="2" max="2" width="19.7109375" style="73" bestFit="1" customWidth="1"/>
    <col min="3" max="3" width="13.5703125" style="73" bestFit="1" customWidth="1"/>
    <col min="4" max="4" width="21.5703125" style="73" bestFit="1" customWidth="1"/>
    <col min="5" max="5" width="18" style="73" bestFit="1" customWidth="1"/>
    <col min="6" max="6" width="19.7109375" style="73" bestFit="1" customWidth="1"/>
    <col min="7" max="7" width="23.85546875" style="73" bestFit="1" customWidth="1"/>
    <col min="8" max="8" width="13.5703125" style="73" bestFit="1" customWidth="1"/>
    <col min="9" max="16384" width="9.140625" style="73"/>
  </cols>
  <sheetData>
    <row r="3" spans="1:8" x14ac:dyDescent="0.25">
      <c r="A3" s="75" t="s">
        <v>158</v>
      </c>
      <c r="B3" s="73" t="s">
        <v>160</v>
      </c>
      <c r="C3" s="73" t="s">
        <v>161</v>
      </c>
    </row>
    <row r="4" spans="1:8" x14ac:dyDescent="0.25">
      <c r="A4" s="76">
        <v>42187</v>
      </c>
      <c r="B4" s="74">
        <v>23</v>
      </c>
      <c r="C4" s="88">
        <v>1898.1329999999998</v>
      </c>
      <c r="E4" s="73" t="s">
        <v>158</v>
      </c>
      <c r="F4" s="73" t="s">
        <v>160</v>
      </c>
      <c r="G4" s="73" t="s">
        <v>162</v>
      </c>
      <c r="H4" s="73" t="s">
        <v>161</v>
      </c>
    </row>
    <row r="5" spans="1:8" x14ac:dyDescent="0.25">
      <c r="A5" s="78" t="s">
        <v>36</v>
      </c>
      <c r="B5" s="74">
        <v>1</v>
      </c>
      <c r="C5" s="88">
        <v>26.910000000000004</v>
      </c>
      <c r="E5" s="77" t="s">
        <v>119</v>
      </c>
      <c r="F5" s="74">
        <v>33</v>
      </c>
      <c r="G5" s="88">
        <v>25</v>
      </c>
      <c r="H5" s="88">
        <v>2562.48</v>
      </c>
    </row>
    <row r="6" spans="1:8" x14ac:dyDescent="0.25">
      <c r="A6" s="78" t="s">
        <v>40</v>
      </c>
      <c r="B6" s="74">
        <v>3</v>
      </c>
      <c r="C6" s="88">
        <v>77.699999999999989</v>
      </c>
      <c r="E6" s="77" t="s">
        <v>120</v>
      </c>
      <c r="F6" s="74">
        <v>30</v>
      </c>
      <c r="G6" s="88">
        <v>0</v>
      </c>
      <c r="H6" s="88">
        <v>235.8725</v>
      </c>
    </row>
    <row r="7" spans="1:8" x14ac:dyDescent="0.25">
      <c r="A7" s="78" t="s">
        <v>75</v>
      </c>
      <c r="B7" s="74">
        <v>2</v>
      </c>
      <c r="C7" s="88">
        <v>35.372000000000007</v>
      </c>
      <c r="E7" s="77" t="s">
        <v>121</v>
      </c>
      <c r="F7" s="74">
        <v>54</v>
      </c>
      <c r="G7" s="88">
        <v>32.5</v>
      </c>
      <c r="H7" s="88">
        <v>2745.1040000000003</v>
      </c>
    </row>
    <row r="8" spans="1:8" x14ac:dyDescent="0.25">
      <c r="A8" s="78" t="s">
        <v>42</v>
      </c>
      <c r="B8" s="74">
        <v>5</v>
      </c>
      <c r="C8" s="88">
        <v>155.25</v>
      </c>
      <c r="E8" s="77" t="s">
        <v>122</v>
      </c>
      <c r="F8" s="74">
        <v>19.5</v>
      </c>
      <c r="G8" s="88">
        <v>40</v>
      </c>
      <c r="H8" s="88">
        <v>371.20500000000004</v>
      </c>
    </row>
    <row r="9" spans="1:8" x14ac:dyDescent="0.25">
      <c r="A9" s="78" t="s">
        <v>35</v>
      </c>
      <c r="B9" s="74">
        <v>6</v>
      </c>
      <c r="C9" s="88">
        <v>261.90000000000003</v>
      </c>
      <c r="E9" s="77" t="s">
        <v>123</v>
      </c>
      <c r="F9" s="74">
        <v>25</v>
      </c>
      <c r="G9" s="88">
        <v>32.5</v>
      </c>
      <c r="H9" s="88">
        <v>661.67700000000013</v>
      </c>
    </row>
    <row r="10" spans="1:8" x14ac:dyDescent="0.25">
      <c r="A10" s="78" t="s">
        <v>44</v>
      </c>
      <c r="B10" s="74">
        <v>1</v>
      </c>
      <c r="C10" s="88">
        <v>57.480000000000004</v>
      </c>
      <c r="E10" s="77" t="s">
        <v>159</v>
      </c>
      <c r="F10" s="74">
        <v>161.5</v>
      </c>
      <c r="G10" s="88">
        <v>130</v>
      </c>
      <c r="H10" s="88">
        <v>6576.3384999999998</v>
      </c>
    </row>
    <row r="11" spans="1:8" x14ac:dyDescent="0.25">
      <c r="A11" s="78" t="s">
        <v>41</v>
      </c>
      <c r="B11" s="74">
        <v>2</v>
      </c>
      <c r="C11" s="88">
        <v>59.8</v>
      </c>
    </row>
    <row r="12" spans="1:8" x14ac:dyDescent="0.25">
      <c r="A12" s="78" t="s">
        <v>47</v>
      </c>
      <c r="B12" s="74">
        <v>3</v>
      </c>
      <c r="C12" s="88">
        <v>1223.7209999999998</v>
      </c>
    </row>
    <row r="13" spans="1:8" x14ac:dyDescent="0.25">
      <c r="A13" s="76">
        <v>42188</v>
      </c>
      <c r="B13" s="74">
        <v>72.5</v>
      </c>
      <c r="C13" s="88">
        <v>3315.1759999999999</v>
      </c>
    </row>
    <row r="14" spans="1:8" x14ac:dyDescent="0.25">
      <c r="A14" s="78" t="s">
        <v>46</v>
      </c>
      <c r="B14" s="74">
        <v>5</v>
      </c>
      <c r="C14" s="88">
        <v>80.810999999999993</v>
      </c>
    </row>
    <row r="15" spans="1:8" x14ac:dyDescent="0.25">
      <c r="A15" s="78" t="s">
        <v>70</v>
      </c>
      <c r="B15" s="74">
        <v>2</v>
      </c>
      <c r="C15" s="88">
        <v>74.850000000000009</v>
      </c>
    </row>
    <row r="16" spans="1:8" x14ac:dyDescent="0.25">
      <c r="A16" s="78" t="s">
        <v>72</v>
      </c>
      <c r="B16" s="74">
        <v>1.5</v>
      </c>
      <c r="C16" s="88">
        <v>91.125</v>
      </c>
    </row>
    <row r="17" spans="1:3" x14ac:dyDescent="0.25">
      <c r="A17" s="78" t="s">
        <v>48</v>
      </c>
      <c r="B17" s="74">
        <v>4</v>
      </c>
      <c r="C17" s="88">
        <v>62.400000000000006</v>
      </c>
    </row>
    <row r="18" spans="1:3" x14ac:dyDescent="0.25">
      <c r="A18" s="78" t="s">
        <v>34</v>
      </c>
      <c r="B18" s="74">
        <v>20</v>
      </c>
      <c r="C18" s="88">
        <v>81.320000000000007</v>
      </c>
    </row>
    <row r="19" spans="1:3" x14ac:dyDescent="0.25">
      <c r="A19" s="78" t="s">
        <v>38</v>
      </c>
      <c r="B19" s="74">
        <v>20</v>
      </c>
      <c r="C19" s="88">
        <v>1047.0000000000002</v>
      </c>
    </row>
    <row r="20" spans="1:3" x14ac:dyDescent="0.25">
      <c r="A20" s="78" t="s">
        <v>67</v>
      </c>
      <c r="B20" s="74">
        <v>2</v>
      </c>
      <c r="C20" s="88">
        <v>26.82</v>
      </c>
    </row>
    <row r="21" spans="1:3" x14ac:dyDescent="0.25">
      <c r="A21" s="78" t="s">
        <v>74</v>
      </c>
      <c r="B21" s="74">
        <v>6</v>
      </c>
      <c r="C21" s="88">
        <v>130.05000000000001</v>
      </c>
    </row>
    <row r="22" spans="1:3" x14ac:dyDescent="0.25">
      <c r="A22" s="78" t="s">
        <v>39</v>
      </c>
      <c r="B22" s="74">
        <v>12</v>
      </c>
      <c r="C22" s="88">
        <v>1720.7999999999997</v>
      </c>
    </row>
    <row r="23" spans="1:3" x14ac:dyDescent="0.25">
      <c r="A23" s="76">
        <v>42189</v>
      </c>
      <c r="B23" s="74">
        <v>21</v>
      </c>
      <c r="C23" s="88">
        <v>660.55250000000012</v>
      </c>
    </row>
    <row r="24" spans="1:3" x14ac:dyDescent="0.25">
      <c r="A24" s="78" t="s">
        <v>66</v>
      </c>
      <c r="B24" s="74">
        <v>1</v>
      </c>
      <c r="C24" s="88">
        <v>1.0924999999999998</v>
      </c>
    </row>
    <row r="25" spans="1:3" x14ac:dyDescent="0.25">
      <c r="A25" s="78" t="s">
        <v>49</v>
      </c>
      <c r="B25" s="74">
        <v>10</v>
      </c>
      <c r="C25" s="88">
        <v>71.100000000000009</v>
      </c>
    </row>
    <row r="26" spans="1:3" x14ac:dyDescent="0.25">
      <c r="A26" s="78" t="s">
        <v>37</v>
      </c>
      <c r="B26" s="74">
        <v>6</v>
      </c>
      <c r="C26" s="88">
        <v>572.40000000000009</v>
      </c>
    </row>
    <row r="27" spans="1:3" x14ac:dyDescent="0.25">
      <c r="A27" s="78" t="s">
        <v>43</v>
      </c>
      <c r="B27" s="74">
        <v>4</v>
      </c>
      <c r="C27" s="88">
        <v>15.96</v>
      </c>
    </row>
    <row r="28" spans="1:3" x14ac:dyDescent="0.25">
      <c r="A28" s="76">
        <v>42190</v>
      </c>
      <c r="B28" s="74">
        <v>45</v>
      </c>
      <c r="C28" s="88">
        <v>702.47700000000009</v>
      </c>
    </row>
    <row r="29" spans="1:3" x14ac:dyDescent="0.25">
      <c r="A29" s="78" t="s">
        <v>45</v>
      </c>
      <c r="B29" s="74">
        <v>1</v>
      </c>
      <c r="C29" s="88">
        <v>8.625</v>
      </c>
    </row>
    <row r="30" spans="1:3" x14ac:dyDescent="0.25">
      <c r="A30" s="78" t="s">
        <v>33</v>
      </c>
      <c r="B30" s="74">
        <v>20</v>
      </c>
      <c r="C30" s="88">
        <v>335.65200000000004</v>
      </c>
    </row>
    <row r="31" spans="1:3" x14ac:dyDescent="0.25">
      <c r="A31" s="78" t="s">
        <v>50</v>
      </c>
      <c r="B31" s="74">
        <v>24</v>
      </c>
      <c r="C31" s="88">
        <v>358.2</v>
      </c>
    </row>
    <row r="32" spans="1:3" x14ac:dyDescent="0.25">
      <c r="A32" s="76" t="s">
        <v>159</v>
      </c>
      <c r="B32" s="74">
        <v>161.5</v>
      </c>
      <c r="C32" s="88">
        <v>6576.3384999999998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344FE-DA7E-4C76-AC00-94478C7AEEBA}">
  <sheetPr codeName="Planilha10"/>
  <dimension ref="B1:N40"/>
  <sheetViews>
    <sheetView showGridLines="0" tabSelected="1" topLeftCell="A13" workbookViewId="0">
      <selection activeCell="I7" sqref="I7"/>
    </sheetView>
  </sheetViews>
  <sheetFormatPr defaultRowHeight="15" x14ac:dyDescent="0.25"/>
  <cols>
    <col min="1" max="1" width="11.42578125" style="38" customWidth="1"/>
    <col min="2" max="2" width="14.28515625" style="38" customWidth="1"/>
    <col min="3" max="3" width="13.5703125" style="38" customWidth="1"/>
    <col min="4" max="4" width="15.85546875" style="38" customWidth="1"/>
    <col min="5" max="5" width="13.85546875" style="38" customWidth="1"/>
    <col min="6" max="6" width="10.5703125" style="38" customWidth="1"/>
    <col min="7" max="7" width="13.5703125" style="38" customWidth="1"/>
    <col min="8" max="8" width="15.7109375" style="38" customWidth="1"/>
    <col min="9" max="9" width="10.85546875" style="38" customWidth="1"/>
    <col min="10" max="10" width="11.42578125" style="38" customWidth="1"/>
    <col min="11" max="11" width="11.7109375" style="38" customWidth="1"/>
    <col min="12" max="12" width="17.5703125" style="38" customWidth="1"/>
    <col min="13" max="13" width="13.28515625" style="38" customWidth="1"/>
    <col min="14" max="14" width="14.42578125" style="38" customWidth="1"/>
    <col min="15" max="16384" width="9.140625" style="38"/>
  </cols>
  <sheetData>
    <row r="1" spans="2:14" s="1" customFormat="1" ht="40.5" customHeight="1" x14ac:dyDescent="0.35">
      <c r="B1" s="5" t="s">
        <v>126</v>
      </c>
    </row>
    <row r="2" spans="2:14" s="1" customFormat="1" ht="12.75" customHeight="1" x14ac:dyDescent="0.2"/>
    <row r="3" spans="2:14" ht="12.75" customHeight="1" x14ac:dyDescent="0.25"/>
    <row r="5" spans="2:14" x14ac:dyDescent="0.25">
      <c r="C5" s="38" t="s">
        <v>109</v>
      </c>
      <c r="D5" s="38" t="s">
        <v>110</v>
      </c>
      <c r="E5" s="38" t="s">
        <v>61</v>
      </c>
      <c r="F5" s="38" t="s">
        <v>55</v>
      </c>
      <c r="G5" s="38" t="s">
        <v>56</v>
      </c>
      <c r="H5" s="38" t="s">
        <v>111</v>
      </c>
      <c r="I5" s="38" t="s">
        <v>112</v>
      </c>
      <c r="J5" s="38" t="s">
        <v>58</v>
      </c>
      <c r="K5" s="38" t="s">
        <v>113</v>
      </c>
      <c r="L5" s="38" t="s">
        <v>114</v>
      </c>
      <c r="M5" s="38" t="s">
        <v>115</v>
      </c>
      <c r="N5" s="38" t="s">
        <v>116</v>
      </c>
    </row>
    <row r="6" spans="2:14" x14ac:dyDescent="0.25">
      <c r="C6" s="38">
        <v>13</v>
      </c>
      <c r="D6" s="40">
        <v>42190</v>
      </c>
      <c r="E6" s="38" t="s">
        <v>33</v>
      </c>
      <c r="F6" s="38" t="str">
        <f>IFERROR(VLOOKUP(Tabela710[[#This Row],[Produtos]],Calculos!$F$4:$I$33,4,FALSE),"")</f>
        <v>Kg</v>
      </c>
      <c r="G6" s="38">
        <v>10</v>
      </c>
      <c r="H6" s="34">
        <f>IFERROR(VLOOKUP(Tabela710[[#This Row],[Produtos]],Calculos!$F$4:$I$33,3,FALSE),0)</f>
        <v>2.4900000000000002</v>
      </c>
      <c r="I6" s="34">
        <f>Tabela710[[#This Row],[Preço Unitário]]*Tabela710[[#This Row],[Quantidade]]</f>
        <v>24.900000000000002</v>
      </c>
      <c r="J6" s="39">
        <v>0.02</v>
      </c>
      <c r="K6" s="38" t="s">
        <v>123</v>
      </c>
      <c r="L6" s="34">
        <f>VLOOKUP(Tabela710[[#This Row],[Entrega]],Calculos!$A$5:$B$9,2,FALSE)</f>
        <v>6.5</v>
      </c>
      <c r="M6" s="3">
        <f>Tabela710[[#This Row],[SubTotal]]*(1-Tabela710[[#This Row],[Desconto]]+Tabela710[[#This Row],[Valor da Entrega]])</f>
        <v>186.25200000000004</v>
      </c>
      <c r="N6" s="3" t="str">
        <f>IF(Tabela710[[#This Row],[Id da Venda]]=C7,"",SUMIF(Tabela710[Id da Venda],Tabela710[[#This Row],[Id da Venda]],Tabela710[Total]))</f>
        <v/>
      </c>
    </row>
    <row r="7" spans="2:14" x14ac:dyDescent="0.25">
      <c r="C7" s="38">
        <v>13</v>
      </c>
      <c r="D7" s="40">
        <v>42190</v>
      </c>
      <c r="E7" s="38" t="s">
        <v>45</v>
      </c>
      <c r="F7" s="38" t="str">
        <f>IFERROR(VLOOKUP(Tabela710[[#This Row],[Produtos]],Calculos!$F$4:$I$33,4,FALSE),"")</f>
        <v>Pacote</v>
      </c>
      <c r="G7" s="38">
        <v>1</v>
      </c>
      <c r="H7" s="34">
        <f>IFERROR(VLOOKUP(Tabela710[[#This Row],[Produtos]],Calculos!$F$4:$I$33,3,FALSE),0)</f>
        <v>1.1499999999999999</v>
      </c>
      <c r="I7" s="34">
        <f>Tabela710[[#This Row],[Preço Unitário]]*Tabela710[[#This Row],[Quantidade]]</f>
        <v>1.1499999999999999</v>
      </c>
      <c r="J7" s="39"/>
      <c r="K7" s="38" t="s">
        <v>123</v>
      </c>
      <c r="L7" s="34">
        <f>VLOOKUP(Tabela710[[#This Row],[Entrega]],Calculos!$A$5:$B$9,2,FALSE)</f>
        <v>6.5</v>
      </c>
      <c r="M7" s="3">
        <f>Tabela710[[#This Row],[SubTotal]]*(1-Tabela710[[#This Row],[Desconto]]+Tabela710[[#This Row],[Valor da Entrega]])</f>
        <v>8.625</v>
      </c>
      <c r="N7" s="3" t="str">
        <f>IF(Tabela710[[#This Row],[Id da Venda]]=C8,"",SUMIF(Tabela710[Id da Venda],Tabela710[[#This Row],[Id da Venda]],Tabela710[Total]))</f>
        <v/>
      </c>
    </row>
    <row r="8" spans="2:14" x14ac:dyDescent="0.25">
      <c r="C8" s="38">
        <v>13</v>
      </c>
      <c r="D8" s="40">
        <v>42190</v>
      </c>
      <c r="E8" s="38" t="s">
        <v>33</v>
      </c>
      <c r="F8" s="38" t="str">
        <f>IFERROR(VLOOKUP(Tabela710[[#This Row],[Produtos]],Calculos!$F$4:$I$33,4,FALSE),"")</f>
        <v>Kg</v>
      </c>
      <c r="G8" s="38">
        <v>10</v>
      </c>
      <c r="H8" s="34">
        <f>IFERROR(VLOOKUP(Tabela710[[#This Row],[Produtos]],Calculos!$F$4:$I$33,3,FALSE),0)</f>
        <v>2.4900000000000002</v>
      </c>
      <c r="I8" s="34">
        <f>Tabela710[[#This Row],[Preço Unitário]]*Tabela710[[#This Row],[Quantidade]]</f>
        <v>24.900000000000002</v>
      </c>
      <c r="J8" s="39"/>
      <c r="K8" s="38" t="s">
        <v>119</v>
      </c>
      <c r="L8" s="34">
        <f>VLOOKUP(Tabela710[[#This Row],[Entrega]],Calculos!$A$5:$B$9,2,FALSE)</f>
        <v>5</v>
      </c>
      <c r="M8" s="3">
        <f>Tabela710[[#This Row],[SubTotal]]*(1-Tabela710[[#This Row],[Desconto]]+Tabela710[[#This Row],[Valor da Entrega]])</f>
        <v>149.4</v>
      </c>
      <c r="N8" s="3" t="str">
        <f>IF(Tabela710[[#This Row],[Id da Venda]]=C9,"",SUMIF(Tabela710[Id da Venda],Tabela710[[#This Row],[Id da Venda]],Tabela710[Total]))</f>
        <v/>
      </c>
    </row>
    <row r="9" spans="2:14" x14ac:dyDescent="0.25">
      <c r="C9" s="38">
        <v>13</v>
      </c>
      <c r="D9" s="40">
        <v>42190</v>
      </c>
      <c r="E9" s="38" t="s">
        <v>50</v>
      </c>
      <c r="F9" s="38" t="str">
        <f>IFERROR(VLOOKUP(Tabela710[[#This Row],[Produtos]],Calculos!$F$4:$I$33,4,FALSE),"")</f>
        <v>Pacote</v>
      </c>
      <c r="G9" s="38">
        <v>24</v>
      </c>
      <c r="H9" s="34">
        <f>IFERROR(VLOOKUP(Tabela710[[#This Row],[Produtos]],Calculos!$F$4:$I$33,3,FALSE),0)</f>
        <v>1.99</v>
      </c>
      <c r="I9" s="34">
        <f>Tabela710[[#This Row],[Preço Unitário]]*Tabela710[[#This Row],[Quantidade]]</f>
        <v>47.76</v>
      </c>
      <c r="J9" s="39"/>
      <c r="K9" s="38" t="s">
        <v>121</v>
      </c>
      <c r="L9" s="34">
        <f>VLOOKUP(Tabela710[[#This Row],[Entrega]],Calculos!$A$5:$B$9,2,FALSE)</f>
        <v>6.5</v>
      </c>
      <c r="M9" s="3">
        <f>Tabela710[[#This Row],[SubTotal]]*(1-Tabela710[[#This Row],[Desconto]]+Tabela710[[#This Row],[Valor da Entrega]])</f>
        <v>358.2</v>
      </c>
      <c r="N9" s="4">
        <f>IF(Tabela710[[#This Row],[Id da Venda]]=C10,"",SUMIF(Tabela710[Id da Venda],Tabela710[[#This Row],[Id da Venda]],Tabela710[Total]))</f>
        <v>702.47700000000009</v>
      </c>
    </row>
    <row r="10" spans="2:14" x14ac:dyDescent="0.25">
      <c r="C10" s="38">
        <v>12</v>
      </c>
      <c r="D10" s="40">
        <v>42189</v>
      </c>
      <c r="E10" s="38" t="s">
        <v>66</v>
      </c>
      <c r="F10" s="38" t="str">
        <f>IFERROR(VLOOKUP(Tabela710[[#This Row],[Produtos]],Calculos!$F$4:$I$33,4,FALSE),"")</f>
        <v>Pacote</v>
      </c>
      <c r="G10" s="38">
        <v>1</v>
      </c>
      <c r="H10" s="34">
        <f>IFERROR(VLOOKUP(Tabela710[[#This Row],[Produtos]],Calculos!$F$4:$I$33,3,FALSE),0)</f>
        <v>1.1499999999999999</v>
      </c>
      <c r="I10" s="34">
        <f>Tabela710[[#This Row],[Preço Unitário]]*Tabela710[[#This Row],[Quantidade]]</f>
        <v>1.1499999999999999</v>
      </c>
      <c r="J10" s="39">
        <v>0.05</v>
      </c>
      <c r="K10" s="38" t="s">
        <v>120</v>
      </c>
      <c r="L10" s="34">
        <f>VLOOKUP(Tabela710[[#This Row],[Entrega]],Calculos!$A$5:$B$9,2,FALSE)</f>
        <v>0</v>
      </c>
      <c r="M10" s="3">
        <f>Tabela710[[#This Row],[SubTotal]]*(1-Tabela710[[#This Row],[Desconto]]+Tabela710[[#This Row],[Valor da Entrega]])</f>
        <v>1.0924999999999998</v>
      </c>
      <c r="N10" s="4">
        <f>IF(Tabela710[[#This Row],[Id da Venda]]=C11,"",SUMIF(Tabela710[Id da Venda],Tabela710[[#This Row],[Id da Venda]],Tabela710[Total]))</f>
        <v>1.0924999999999998</v>
      </c>
    </row>
    <row r="11" spans="2:14" x14ac:dyDescent="0.25">
      <c r="C11" s="38">
        <v>11</v>
      </c>
      <c r="D11" s="40">
        <v>42189</v>
      </c>
      <c r="E11" s="38" t="s">
        <v>49</v>
      </c>
      <c r="F11" s="38" t="str">
        <f>IFERROR(VLOOKUP(Tabela710[[#This Row],[Produtos]],Calculos!$F$4:$I$33,4,FALSE),"")</f>
        <v>Pacote</v>
      </c>
      <c r="G11" s="38">
        <v>10</v>
      </c>
      <c r="H11" s="34">
        <f>IFERROR(VLOOKUP(Tabela710[[#This Row],[Produtos]],Calculos!$F$4:$I$33,3,FALSE),0)</f>
        <v>0.79</v>
      </c>
      <c r="I11" s="34">
        <f>Tabela710[[#This Row],[Preço Unitário]]*Tabela710[[#This Row],[Quantidade]]</f>
        <v>7.9</v>
      </c>
      <c r="J11" s="39"/>
      <c r="K11" s="38" t="s">
        <v>122</v>
      </c>
      <c r="L11" s="34">
        <f>VLOOKUP(Tabela710[[#This Row],[Entrega]],Calculos!$A$5:$B$9,2,FALSE)</f>
        <v>8</v>
      </c>
      <c r="M11" s="3">
        <f>Tabela710[[#This Row],[SubTotal]]*(1-Tabela710[[#This Row],[Desconto]]+Tabela710[[#This Row],[Valor da Entrega]])</f>
        <v>71.100000000000009</v>
      </c>
      <c r="N11" s="4">
        <f>IF(Tabela710[[#This Row],[Id da Venda]]=C12,"",SUMIF(Tabela710[Id da Venda],Tabela710[[#This Row],[Id da Venda]],Tabela710[Total]))</f>
        <v>71.100000000000009</v>
      </c>
    </row>
    <row r="12" spans="2:14" x14ac:dyDescent="0.25">
      <c r="C12" s="38">
        <v>10</v>
      </c>
      <c r="D12" s="40">
        <v>42189</v>
      </c>
      <c r="E12" s="38" t="s">
        <v>37</v>
      </c>
      <c r="F12" s="38" t="str">
        <f>IFERROR(VLOOKUP(Tabela710[[#This Row],[Produtos]],Calculos!$F$4:$I$33,4,FALSE),"")</f>
        <v>Kg</v>
      </c>
      <c r="G12" s="38">
        <v>6</v>
      </c>
      <c r="H12" s="34">
        <f>IFERROR(VLOOKUP(Tabela710[[#This Row],[Produtos]],Calculos!$F$4:$I$33,3,FALSE),0)</f>
        <v>15.9</v>
      </c>
      <c r="I12" s="34">
        <f>Tabela710[[#This Row],[Preço Unitário]]*Tabela710[[#This Row],[Quantidade]]</f>
        <v>95.4</v>
      </c>
      <c r="J12" s="39"/>
      <c r="K12" s="38" t="s">
        <v>119</v>
      </c>
      <c r="L12" s="34">
        <f>VLOOKUP(Tabela710[[#This Row],[Entrega]],Calculos!$A$5:$B$9,2,FALSE)</f>
        <v>5</v>
      </c>
      <c r="M12" s="3">
        <f>Tabela710[[#This Row],[SubTotal]]*(1-Tabela710[[#This Row],[Desconto]]+Tabela710[[#This Row],[Valor da Entrega]])</f>
        <v>572.40000000000009</v>
      </c>
      <c r="N12" s="4" t="str">
        <f>IF(Tabela710[[#This Row],[Id da Venda]]=C13,"",SUMIF(Tabela710[Id da Venda],Tabela710[[#This Row],[Id da Venda]],Tabela710[Total]))</f>
        <v/>
      </c>
    </row>
    <row r="13" spans="2:14" x14ac:dyDescent="0.25">
      <c r="C13" s="38">
        <v>10</v>
      </c>
      <c r="D13" s="40">
        <v>42189</v>
      </c>
      <c r="E13" s="38" t="s">
        <v>43</v>
      </c>
      <c r="F13" s="38" t="str">
        <f>IFERROR(VLOOKUP(Tabela710[[#This Row],[Produtos]],Calculos!$F$4:$I$33,4,FALSE),"")</f>
        <v>Kg</v>
      </c>
      <c r="G13" s="38">
        <v>4</v>
      </c>
      <c r="H13" s="34">
        <f>IFERROR(VLOOKUP(Tabela710[[#This Row],[Produtos]],Calculos!$F$4:$I$33,3,FALSE),0)</f>
        <v>3.99</v>
      </c>
      <c r="I13" s="34">
        <f>Tabela710[[#This Row],[Preço Unitário]]*Tabela710[[#This Row],[Quantidade]]</f>
        <v>15.96</v>
      </c>
      <c r="J13" s="39"/>
      <c r="K13" s="38" t="s">
        <v>120</v>
      </c>
      <c r="L13" s="34">
        <f>VLOOKUP(Tabela710[[#This Row],[Entrega]],Calculos!$A$5:$B$9,2,FALSE)</f>
        <v>0</v>
      </c>
      <c r="M13" s="3">
        <f>Tabela710[[#This Row],[SubTotal]]*(1-Tabela710[[#This Row],[Desconto]]+Tabela710[[#This Row],[Valor da Entrega]])</f>
        <v>15.96</v>
      </c>
      <c r="N13" s="4">
        <f>IF(Tabela710[[#This Row],[Id da Venda]]=C14,"",SUMIF(Tabela710[Id da Venda],Tabela710[[#This Row],[Id da Venda]],Tabela710[Total]))</f>
        <v>588.36000000000013</v>
      </c>
    </row>
    <row r="14" spans="2:14" x14ac:dyDescent="0.25">
      <c r="C14" s="38">
        <v>9</v>
      </c>
      <c r="D14" s="40">
        <v>42188</v>
      </c>
      <c r="E14" s="38" t="s">
        <v>46</v>
      </c>
      <c r="F14" s="38" t="str">
        <f>IFERROR(VLOOKUP(Tabela710[[#This Row],[Produtos]],Calculos!$F$4:$I$33,4,FALSE),"")</f>
        <v>Lata</v>
      </c>
      <c r="G14" s="38">
        <v>5</v>
      </c>
      <c r="H14" s="34">
        <f>IFERROR(VLOOKUP(Tabela710[[#This Row],[Produtos]],Calculos!$F$4:$I$33,3,FALSE),0)</f>
        <v>2.19</v>
      </c>
      <c r="I14" s="34">
        <f>Tabela710[[#This Row],[Preço Unitário]]*Tabela710[[#This Row],[Quantidade]]</f>
        <v>10.95</v>
      </c>
      <c r="J14" s="39">
        <v>0.12</v>
      </c>
      <c r="K14" s="38" t="s">
        <v>121</v>
      </c>
      <c r="L14" s="34">
        <f>VLOOKUP(Tabela710[[#This Row],[Entrega]],Calculos!$A$5:$B$9,2,FALSE)</f>
        <v>6.5</v>
      </c>
      <c r="M14" s="3">
        <f>Tabela710[[#This Row],[SubTotal]]*(1-Tabela710[[#This Row],[Desconto]]+Tabela710[[#This Row],[Valor da Entrega]])</f>
        <v>80.810999999999993</v>
      </c>
      <c r="N14" s="4" t="str">
        <f>IF(Tabela710[[#This Row],[Id da Venda]]=C15,"",SUMIF(Tabela710[Id da Venda],Tabela710[[#This Row],[Id da Venda]],Tabela710[Total]))</f>
        <v/>
      </c>
    </row>
    <row r="15" spans="2:14" x14ac:dyDescent="0.25">
      <c r="C15" s="38">
        <v>9</v>
      </c>
      <c r="D15" s="40">
        <v>42188</v>
      </c>
      <c r="E15" s="38" t="s">
        <v>70</v>
      </c>
      <c r="F15" s="38" t="str">
        <f>IFERROR(VLOOKUP(Tabela710[[#This Row],[Produtos]],Calculos!$F$4:$I$33,4,FALSE),"")</f>
        <v>Barra</v>
      </c>
      <c r="G15" s="38">
        <v>2</v>
      </c>
      <c r="H15" s="34">
        <f>IFERROR(VLOOKUP(Tabela710[[#This Row],[Produtos]],Calculos!$F$4:$I$33,3,FALSE),0)</f>
        <v>4.99</v>
      </c>
      <c r="I15" s="34">
        <f>Tabela710[[#This Row],[Preço Unitário]]*Tabela710[[#This Row],[Quantidade]]</f>
        <v>9.98</v>
      </c>
      <c r="J15" s="39"/>
      <c r="K15" s="38" t="s">
        <v>123</v>
      </c>
      <c r="L15" s="34">
        <f>VLOOKUP(Tabela710[[#This Row],[Entrega]],Calculos!$A$5:$B$9,2,FALSE)</f>
        <v>6.5</v>
      </c>
      <c r="M15" s="3">
        <f>Tabela710[[#This Row],[SubTotal]]*(1-Tabela710[[#This Row],[Desconto]]+Tabela710[[#This Row],[Valor da Entrega]])</f>
        <v>74.850000000000009</v>
      </c>
      <c r="N15" s="4" t="str">
        <f>IF(Tabela710[[#This Row],[Id da Venda]]=C16,"",SUMIF(Tabela710[Id da Venda],Tabela710[[#This Row],[Id da Venda]],Tabela710[Total]))</f>
        <v/>
      </c>
    </row>
    <row r="16" spans="2:14" x14ac:dyDescent="0.25">
      <c r="C16" s="38">
        <v>9</v>
      </c>
      <c r="D16" s="40">
        <v>42188</v>
      </c>
      <c r="E16" s="38" t="s">
        <v>72</v>
      </c>
      <c r="F16" s="38" t="str">
        <f>IFERROR(VLOOKUP(Tabela710[[#This Row],[Produtos]],Calculos!$F$4:$I$33,4,FALSE),"")</f>
        <v>Maço</v>
      </c>
      <c r="G16" s="38">
        <v>1.5</v>
      </c>
      <c r="H16" s="34">
        <f>IFERROR(VLOOKUP(Tabela710[[#This Row],[Produtos]],Calculos!$F$4:$I$33,3,FALSE),0)</f>
        <v>6.75</v>
      </c>
      <c r="I16" s="34">
        <f>Tabela710[[#This Row],[Preço Unitário]]*Tabela710[[#This Row],[Quantidade]]</f>
        <v>10.125</v>
      </c>
      <c r="J16" s="39"/>
      <c r="K16" s="38" t="s">
        <v>122</v>
      </c>
      <c r="L16" s="34">
        <f>VLOOKUP(Tabela710[[#This Row],[Entrega]],Calculos!$A$5:$B$9,2,FALSE)</f>
        <v>8</v>
      </c>
      <c r="M16" s="3">
        <f>Tabela710[[#This Row],[SubTotal]]*(1-Tabela710[[#This Row],[Desconto]]+Tabela710[[#This Row],[Valor da Entrega]])</f>
        <v>91.125</v>
      </c>
      <c r="N16" s="4" t="str">
        <f>IF(Tabela710[[#This Row],[Id da Venda]]=C17,"",SUMIF(Tabela710[Id da Venda],Tabela710[[#This Row],[Id da Venda]],Tabela710[Total]))</f>
        <v/>
      </c>
    </row>
    <row r="17" spans="3:14" x14ac:dyDescent="0.25">
      <c r="C17" s="38">
        <v>9</v>
      </c>
      <c r="D17" s="40">
        <v>42188</v>
      </c>
      <c r="E17" s="38" t="s">
        <v>48</v>
      </c>
      <c r="F17" s="38" t="str">
        <f>IFERROR(VLOOKUP(Tabela710[[#This Row],[Produtos]],Calculos!$F$4:$I$33,4,FALSE),"")</f>
        <v>Unidade</v>
      </c>
      <c r="G17" s="38">
        <v>4</v>
      </c>
      <c r="H17" s="34">
        <f>IFERROR(VLOOKUP(Tabela710[[#This Row],[Produtos]],Calculos!$F$4:$I$33,3,FALSE),0)</f>
        <v>2.6</v>
      </c>
      <c r="I17" s="34">
        <f>Tabela710[[#This Row],[Preço Unitário]]*Tabela710[[#This Row],[Quantidade]]</f>
        <v>10.4</v>
      </c>
      <c r="J17" s="39"/>
      <c r="K17" s="38" t="s">
        <v>119</v>
      </c>
      <c r="L17" s="34">
        <f>VLOOKUP(Tabela710[[#This Row],[Entrega]],Calculos!$A$5:$B$9,2,FALSE)</f>
        <v>5</v>
      </c>
      <c r="M17" s="3">
        <f>Tabela710[[#This Row],[SubTotal]]*(1-Tabela710[[#This Row],[Desconto]]+Tabela710[[#This Row],[Valor da Entrega]])</f>
        <v>62.400000000000006</v>
      </c>
      <c r="N17" s="4">
        <f>IF(Tabela710[[#This Row],[Id da Venda]]=C18,"",SUMIF(Tabela710[Id da Venda],Tabela710[[#This Row],[Id da Venda]],Tabela710[Total]))</f>
        <v>309.18600000000004</v>
      </c>
    </row>
    <row r="18" spans="3:14" x14ac:dyDescent="0.25">
      <c r="C18" s="38">
        <v>8</v>
      </c>
      <c r="D18" s="40">
        <v>42188</v>
      </c>
      <c r="E18" s="38" t="s">
        <v>34</v>
      </c>
      <c r="F18" s="38" t="str">
        <f>IFERROR(VLOOKUP(Tabela710[[#This Row],[Produtos]],Calculos!$F$4:$I$33,4,FALSE),"")</f>
        <v>Kg</v>
      </c>
      <c r="G18" s="38">
        <v>20</v>
      </c>
      <c r="H18" s="34">
        <f>IFERROR(VLOOKUP(Tabela710[[#This Row],[Produtos]],Calculos!$F$4:$I$33,3,FALSE),0)</f>
        <v>4.28</v>
      </c>
      <c r="I18" s="34">
        <f>Tabela710[[#This Row],[Preço Unitário]]*Tabela710[[#This Row],[Quantidade]]</f>
        <v>85.600000000000009</v>
      </c>
      <c r="J18" s="39">
        <v>0.05</v>
      </c>
      <c r="K18" s="38" t="s">
        <v>120</v>
      </c>
      <c r="L18" s="34">
        <f>VLOOKUP(Tabela710[[#This Row],[Entrega]],Calculos!$A$5:$B$9,2,FALSE)</f>
        <v>0</v>
      </c>
      <c r="M18" s="3">
        <f>Tabela710[[#This Row],[SubTotal]]*(1-Tabela710[[#This Row],[Desconto]]+Tabela710[[#This Row],[Valor da Entrega]])</f>
        <v>81.320000000000007</v>
      </c>
      <c r="N18" s="4">
        <f>IF(Tabela710[[#This Row],[Id da Venda]]=C19,"",SUMIF(Tabela710[Id da Venda],Tabela710[[#This Row],[Id da Venda]],Tabela710[Total]))</f>
        <v>81.320000000000007</v>
      </c>
    </row>
    <row r="19" spans="3:14" x14ac:dyDescent="0.25">
      <c r="C19" s="38">
        <v>7</v>
      </c>
      <c r="D19" s="40">
        <v>42188</v>
      </c>
      <c r="E19" s="38" t="s">
        <v>38</v>
      </c>
      <c r="F19" s="38" t="str">
        <f>IFERROR(VLOOKUP(Tabela710[[#This Row],[Produtos]],Calculos!$F$4:$I$33,4,FALSE),"")</f>
        <v>Kg</v>
      </c>
      <c r="G19" s="38">
        <v>20</v>
      </c>
      <c r="H19" s="34">
        <f>IFERROR(VLOOKUP(Tabela710[[#This Row],[Produtos]],Calculos!$F$4:$I$33,3,FALSE),0)</f>
        <v>6.98</v>
      </c>
      <c r="I19" s="34">
        <f>Tabela710[[#This Row],[Preço Unitário]]*Tabela710[[#This Row],[Quantidade]]</f>
        <v>139.60000000000002</v>
      </c>
      <c r="J19" s="39"/>
      <c r="K19" s="38" t="s">
        <v>121</v>
      </c>
      <c r="L19" s="34">
        <f>VLOOKUP(Tabela710[[#This Row],[Entrega]],Calculos!$A$5:$B$9,2,FALSE)</f>
        <v>6.5</v>
      </c>
      <c r="M19" s="3">
        <f>Tabela710[[#This Row],[SubTotal]]*(1-Tabela710[[#This Row],[Desconto]]+Tabela710[[#This Row],[Valor da Entrega]])</f>
        <v>1047.0000000000002</v>
      </c>
      <c r="N19" s="4">
        <f>IF(Tabela710[[#This Row],[Id da Venda]]=C20,"",SUMIF(Tabela710[Id da Venda],Tabela710[[#This Row],[Id da Venda]],Tabela710[Total]))</f>
        <v>1047.0000000000002</v>
      </c>
    </row>
    <row r="20" spans="3:14" x14ac:dyDescent="0.25">
      <c r="C20" s="38">
        <v>6</v>
      </c>
      <c r="D20" s="40">
        <v>42188</v>
      </c>
      <c r="E20" s="38" t="s">
        <v>67</v>
      </c>
      <c r="F20" s="38" t="str">
        <f>IFERROR(VLOOKUP(Tabela710[[#This Row],[Produtos]],Calculos!$F$4:$I$33,4,FALSE),"")</f>
        <v>Litro</v>
      </c>
      <c r="G20" s="38">
        <v>2</v>
      </c>
      <c r="H20" s="34">
        <f>IFERROR(VLOOKUP(Tabela710[[#This Row],[Produtos]],Calculos!$F$4:$I$33,3,FALSE),0)</f>
        <v>1.49</v>
      </c>
      <c r="I20" s="34">
        <f>Tabela710[[#This Row],[Preço Unitário]]*Tabela710[[#This Row],[Quantidade]]</f>
        <v>2.98</v>
      </c>
      <c r="J20" s="39"/>
      <c r="K20" s="38" t="s">
        <v>122</v>
      </c>
      <c r="L20" s="34">
        <f>VLOOKUP(Tabela710[[#This Row],[Entrega]],Calculos!$A$5:$B$9,2,FALSE)</f>
        <v>8</v>
      </c>
      <c r="M20" s="3">
        <f>Tabela710[[#This Row],[SubTotal]]*(1-Tabela710[[#This Row],[Desconto]]+Tabela710[[#This Row],[Valor da Entrega]])</f>
        <v>26.82</v>
      </c>
      <c r="N20" s="4" t="str">
        <f>IF(Tabela710[[#This Row],[Id da Venda]]=C21,"",SUMIF(Tabela710[Id da Venda],Tabela710[[#This Row],[Id da Venda]],Tabela710[Total]))</f>
        <v/>
      </c>
    </row>
    <row r="21" spans="3:14" x14ac:dyDescent="0.25">
      <c r="C21" s="38">
        <v>6</v>
      </c>
      <c r="D21" s="40">
        <v>42188</v>
      </c>
      <c r="E21" s="38" t="s">
        <v>74</v>
      </c>
      <c r="F21" s="38" t="str">
        <f>IFERROR(VLOOKUP(Tabela710[[#This Row],[Produtos]],Calculos!$F$4:$I$33,4,FALSE),"")</f>
        <v>Unidade</v>
      </c>
      <c r="G21" s="38">
        <v>6</v>
      </c>
      <c r="H21" s="34">
        <f>IFERROR(VLOOKUP(Tabela710[[#This Row],[Produtos]],Calculos!$F$4:$I$33,3,FALSE),0)</f>
        <v>2.89</v>
      </c>
      <c r="I21" s="34">
        <f>Tabela710[[#This Row],[Preço Unitário]]*Tabela710[[#This Row],[Quantidade]]</f>
        <v>17.34</v>
      </c>
      <c r="J21" s="39"/>
      <c r="K21" s="38" t="s">
        <v>123</v>
      </c>
      <c r="L21" s="34">
        <f>VLOOKUP(Tabela710[[#This Row],[Entrega]],Calculos!$A$5:$B$9,2,FALSE)</f>
        <v>6.5</v>
      </c>
      <c r="M21" s="3">
        <f>Tabela710[[#This Row],[SubTotal]]*(1-Tabela710[[#This Row],[Desconto]]+Tabela710[[#This Row],[Valor da Entrega]])</f>
        <v>130.05000000000001</v>
      </c>
      <c r="N21" s="4" t="str">
        <f>IF(Tabela710[[#This Row],[Id da Venda]]=C22,"",SUMIF(Tabela710[Id da Venda],Tabela710[[#This Row],[Id da Venda]],Tabela710[Total]))</f>
        <v/>
      </c>
    </row>
    <row r="22" spans="3:14" x14ac:dyDescent="0.25">
      <c r="C22" s="38">
        <v>6</v>
      </c>
      <c r="D22" s="40">
        <v>42188</v>
      </c>
      <c r="E22" s="38" t="s">
        <v>39</v>
      </c>
      <c r="F22" s="38" t="str">
        <f>IFERROR(VLOOKUP(Tabela710[[#This Row],[Produtos]],Calculos!$F$4:$I$33,4,FALSE),"")</f>
        <v>Kg</v>
      </c>
      <c r="G22" s="38">
        <v>12</v>
      </c>
      <c r="H22" s="34">
        <f>IFERROR(VLOOKUP(Tabela710[[#This Row],[Produtos]],Calculos!$F$4:$I$33,3,FALSE),0)</f>
        <v>23.9</v>
      </c>
      <c r="I22" s="34">
        <f>Tabela710[[#This Row],[Preço Unitário]]*Tabela710[[#This Row],[Quantidade]]</f>
        <v>286.79999999999995</v>
      </c>
      <c r="J22" s="39"/>
      <c r="K22" s="38" t="s">
        <v>119</v>
      </c>
      <c r="L22" s="34">
        <f>VLOOKUP(Tabela710[[#This Row],[Entrega]],Calculos!$A$5:$B$9,2,FALSE)</f>
        <v>5</v>
      </c>
      <c r="M22" s="3">
        <f>Tabela710[[#This Row],[SubTotal]]*(1-Tabela710[[#This Row],[Desconto]]+Tabela710[[#This Row],[Valor da Entrega]])</f>
        <v>1720.7999999999997</v>
      </c>
      <c r="N22" s="4">
        <f>IF(Tabela710[[#This Row],[Id da Venda]]=C23,"",SUMIF(Tabela710[Id da Venda],Tabela710[[#This Row],[Id da Venda]],Tabela710[Total]))</f>
        <v>1877.6699999999996</v>
      </c>
    </row>
    <row r="23" spans="3:14" x14ac:dyDescent="0.25">
      <c r="C23" s="38">
        <v>5</v>
      </c>
      <c r="D23" s="40">
        <v>42187</v>
      </c>
      <c r="E23" s="38" t="s">
        <v>40</v>
      </c>
      <c r="F23" s="38" t="str">
        <f>IFERROR(VLOOKUP(Tabela710[[#This Row],[Produtos]],Calculos!$F$4:$I$33,4,FALSE),"")</f>
        <v>Kg</v>
      </c>
      <c r="G23" s="38">
        <v>3</v>
      </c>
      <c r="H23" s="34">
        <f>IFERROR(VLOOKUP(Tabela710[[#This Row],[Produtos]],Calculos!$F$4:$I$33,3,FALSE),0)</f>
        <v>25.9</v>
      </c>
      <c r="I23" s="34">
        <f>Tabela710[[#This Row],[Preço Unitário]]*Tabela710[[#This Row],[Quantidade]]</f>
        <v>77.699999999999989</v>
      </c>
      <c r="J23" s="39"/>
      <c r="K23" s="38" t="s">
        <v>120</v>
      </c>
      <c r="L23" s="34">
        <f>VLOOKUP(Tabela710[[#This Row],[Entrega]],Calculos!$A$5:$B$9,2,FALSE)</f>
        <v>0</v>
      </c>
      <c r="M23" s="3">
        <f>Tabela710[[#This Row],[SubTotal]]*(1-Tabela710[[#This Row],[Desconto]]+Tabela710[[#This Row],[Valor da Entrega]])</f>
        <v>77.699999999999989</v>
      </c>
      <c r="N23" s="4">
        <f>IF(Tabela710[[#This Row],[Id da Venda]]=C24,"",SUMIF(Tabela710[Id da Venda],Tabela710[[#This Row],[Id da Venda]],Tabela710[Total]))</f>
        <v>77.699999999999989</v>
      </c>
    </row>
    <row r="24" spans="3:14" x14ac:dyDescent="0.25">
      <c r="C24" s="38">
        <v>4</v>
      </c>
      <c r="D24" s="40">
        <v>42187</v>
      </c>
      <c r="E24" s="38" t="s">
        <v>75</v>
      </c>
      <c r="F24" s="38" t="str">
        <f>IFERROR(VLOOKUP(Tabela710[[#This Row],[Produtos]],Calculos!$F$4:$I$33,4,FALSE),"")</f>
        <v>Litro</v>
      </c>
      <c r="G24" s="38">
        <v>2</v>
      </c>
      <c r="H24" s="34">
        <f>IFERROR(VLOOKUP(Tabela710[[#This Row],[Produtos]],Calculos!$F$4:$I$33,3,FALSE),0)</f>
        <v>2.39</v>
      </c>
      <c r="I24" s="34">
        <f>Tabela710[[#This Row],[Preço Unitário]]*Tabela710[[#This Row],[Quantidade]]</f>
        <v>4.78</v>
      </c>
      <c r="J24" s="39">
        <v>0.1</v>
      </c>
      <c r="K24" s="38" t="s">
        <v>121</v>
      </c>
      <c r="L24" s="34">
        <f>VLOOKUP(Tabela710[[#This Row],[Entrega]],Calculos!$A$5:$B$9,2,FALSE)</f>
        <v>6.5</v>
      </c>
      <c r="M24" s="3">
        <f>Tabela710[[#This Row],[SubTotal]]*(1-Tabela710[[#This Row],[Desconto]]+Tabela710[[#This Row],[Valor da Entrega]])</f>
        <v>35.372000000000007</v>
      </c>
      <c r="N24" s="4" t="str">
        <f>IF(Tabela710[[#This Row],[Id da Venda]]=C25,"",SUMIF(Tabela710[Id da Venda],Tabela710[[#This Row],[Id da Venda]],Tabela710[Total]))</f>
        <v/>
      </c>
    </row>
    <row r="25" spans="3:14" x14ac:dyDescent="0.25">
      <c r="C25" s="38">
        <v>4</v>
      </c>
      <c r="D25" s="40">
        <v>42187</v>
      </c>
      <c r="E25" s="38" t="s">
        <v>42</v>
      </c>
      <c r="F25" s="38" t="str">
        <f>IFERROR(VLOOKUP(Tabela710[[#This Row],[Produtos]],Calculos!$F$4:$I$33,4,FALSE),"")</f>
        <v>Litro</v>
      </c>
      <c r="G25" s="38">
        <v>5</v>
      </c>
      <c r="H25" s="34">
        <f>IFERROR(VLOOKUP(Tabela710[[#This Row],[Produtos]],Calculos!$F$4:$I$33,3,FALSE),0)</f>
        <v>3.45</v>
      </c>
      <c r="I25" s="34">
        <f>Tabela710[[#This Row],[Preço Unitário]]*Tabela710[[#This Row],[Quantidade]]</f>
        <v>17.25</v>
      </c>
      <c r="J25" s="39"/>
      <c r="K25" s="38" t="s">
        <v>122</v>
      </c>
      <c r="L25" s="34">
        <f>VLOOKUP(Tabela710[[#This Row],[Entrega]],Calculos!$A$5:$B$9,2,FALSE)</f>
        <v>8</v>
      </c>
      <c r="M25" s="3">
        <f>Tabela710[[#This Row],[SubTotal]]*(1-Tabela710[[#This Row],[Desconto]]+Tabela710[[#This Row],[Valor da Entrega]])</f>
        <v>155.25</v>
      </c>
      <c r="N25" s="4">
        <f>IF(Tabela710[[#This Row],[Id da Venda]]=C26,"",SUMIF(Tabela710[Id da Venda],Tabela710[[#This Row],[Id da Venda]],Tabela710[Total]))</f>
        <v>190.62200000000001</v>
      </c>
    </row>
    <row r="26" spans="3:14" x14ac:dyDescent="0.25">
      <c r="C26" s="38">
        <v>3</v>
      </c>
      <c r="D26" s="40">
        <v>42187</v>
      </c>
      <c r="E26" s="38" t="s">
        <v>35</v>
      </c>
      <c r="F26" s="38" t="str">
        <f>IFERROR(VLOOKUP(Tabela710[[#This Row],[Produtos]],Calculos!$F$4:$I$33,4,FALSE),"")</f>
        <v>Kg</v>
      </c>
      <c r="G26" s="38">
        <v>6</v>
      </c>
      <c r="H26" s="34">
        <f>IFERROR(VLOOKUP(Tabela710[[#This Row],[Produtos]],Calculos!$F$4:$I$33,3,FALSE),0)</f>
        <v>5.82</v>
      </c>
      <c r="I26" s="34">
        <f>Tabela710[[#This Row],[Preço Unitário]]*Tabela710[[#This Row],[Quantidade]]</f>
        <v>34.92</v>
      </c>
      <c r="J26" s="39"/>
      <c r="K26" s="38" t="s">
        <v>123</v>
      </c>
      <c r="L26" s="34">
        <f>VLOOKUP(Tabela710[[#This Row],[Entrega]],Calculos!$A$5:$B$9,2,FALSE)</f>
        <v>6.5</v>
      </c>
      <c r="M26" s="3">
        <f>Tabela710[[#This Row],[SubTotal]]*(1-Tabela710[[#This Row],[Desconto]]+Tabela710[[#This Row],[Valor da Entrega]])</f>
        <v>261.90000000000003</v>
      </c>
      <c r="N26" s="4">
        <f>IF(Tabela710[[#This Row],[Id da Venda]]=C27,"",SUMIF(Tabela710[Id da Venda],Tabela710[[#This Row],[Id da Venda]],Tabela710[Total]))</f>
        <v>261.90000000000003</v>
      </c>
    </row>
    <row r="27" spans="3:14" x14ac:dyDescent="0.25">
      <c r="C27" s="38">
        <v>2</v>
      </c>
      <c r="D27" s="40">
        <v>42187</v>
      </c>
      <c r="E27" s="38" t="s">
        <v>44</v>
      </c>
      <c r="F27" s="38" t="str">
        <f>IFERROR(VLOOKUP(Tabela710[[#This Row],[Produtos]],Calculos!$F$4:$I$33,4,FALSE),"")</f>
        <v>Kg</v>
      </c>
      <c r="G27" s="38">
        <v>1</v>
      </c>
      <c r="H27" s="34">
        <f>IFERROR(VLOOKUP(Tabela710[[#This Row],[Produtos]],Calculos!$F$4:$I$33,3,FALSE),0)</f>
        <v>9.58</v>
      </c>
      <c r="I27" s="34">
        <f>Tabela710[[#This Row],[Preço Unitário]]*Tabela710[[#This Row],[Quantidade]]</f>
        <v>9.58</v>
      </c>
      <c r="J27" s="39"/>
      <c r="K27" s="38" t="s">
        <v>119</v>
      </c>
      <c r="L27" s="34">
        <f>VLOOKUP(Tabela710[[#This Row],[Entrega]],Calculos!$A$5:$B$9,2,FALSE)</f>
        <v>5</v>
      </c>
      <c r="M27" s="3">
        <f>Tabela710[[#This Row],[SubTotal]]*(1-Tabela710[[#This Row],[Desconto]]+Tabela710[[#This Row],[Valor da Entrega]])</f>
        <v>57.480000000000004</v>
      </c>
      <c r="N27" s="4">
        <f>IF(Tabela710[[#This Row],[Id da Venda]]=C28,"",SUMIF(Tabela710[Id da Venda],Tabela710[[#This Row],[Id da Venda]],Tabela710[Total]))</f>
        <v>57.480000000000004</v>
      </c>
    </row>
    <row r="28" spans="3:14" x14ac:dyDescent="0.25">
      <c r="C28" s="38">
        <v>1</v>
      </c>
      <c r="D28" s="40">
        <v>42187</v>
      </c>
      <c r="E28" s="38" t="s">
        <v>41</v>
      </c>
      <c r="F28" s="38" t="str">
        <f>IFERROR(VLOOKUP(Tabela710[[#This Row],[Produtos]],Calculos!$F$4:$I$33,4,FALSE),"")</f>
        <v>Garrafa</v>
      </c>
      <c r="G28" s="38">
        <v>2</v>
      </c>
      <c r="H28" s="34">
        <f>IFERROR(VLOOKUP(Tabela710[[#This Row],[Produtos]],Calculos!$F$4:$I$33,3,FALSE),0)</f>
        <v>29.9</v>
      </c>
      <c r="I28" s="34">
        <f>Tabela710[[#This Row],[Preço Unitário]]*Tabela710[[#This Row],[Quantidade]]</f>
        <v>59.8</v>
      </c>
      <c r="J28" s="39"/>
      <c r="K28" s="38" t="s">
        <v>120</v>
      </c>
      <c r="L28" s="34">
        <f>VLOOKUP(Tabela710[[#This Row],[Entrega]],Calculos!$A$5:$B$9,2,FALSE)</f>
        <v>0</v>
      </c>
      <c r="M28" s="3">
        <f>Tabela710[[#This Row],[SubTotal]]*(1-Tabela710[[#This Row],[Desconto]]+Tabela710[[#This Row],[Valor da Entrega]])</f>
        <v>59.8</v>
      </c>
      <c r="N28" s="4" t="str">
        <f>IF(Tabela710[[#This Row],[Id da Venda]]=C29,"",SUMIF(Tabela710[Id da Venda],Tabela710[[#This Row],[Id da Venda]],Tabela710[Total]))</f>
        <v/>
      </c>
    </row>
    <row r="29" spans="3:14" x14ac:dyDescent="0.25">
      <c r="C29" s="38">
        <v>1</v>
      </c>
      <c r="D29" s="40">
        <v>42187</v>
      </c>
      <c r="E29" s="38" t="s">
        <v>47</v>
      </c>
      <c r="F29" s="38" t="str">
        <f>IFERROR(VLOOKUP(Tabela710[[#This Row],[Produtos]],Calculos!$F$4:$I$33,4,FALSE),"")</f>
        <v>Garrafa</v>
      </c>
      <c r="G29" s="38">
        <v>3</v>
      </c>
      <c r="H29" s="34">
        <f>IFERROR(VLOOKUP(Tabela710[[#This Row],[Produtos]],Calculos!$F$4:$I$33,3,FALSE),0)</f>
        <v>54.9</v>
      </c>
      <c r="I29" s="34">
        <f>Tabela710[[#This Row],[Preço Unitário]]*Tabela710[[#This Row],[Quantidade]]</f>
        <v>164.7</v>
      </c>
      <c r="J29" s="39">
        <v>7.0000000000000007E-2</v>
      </c>
      <c r="K29" s="38" t="s">
        <v>121</v>
      </c>
      <c r="L29" s="34">
        <f>VLOOKUP(Tabela710[[#This Row],[Entrega]],Calculos!$A$5:$B$9,2,FALSE)</f>
        <v>6.5</v>
      </c>
      <c r="M29" s="3">
        <f>Tabela710[[#This Row],[SubTotal]]*(1-Tabela710[[#This Row],[Desconto]]+Tabela710[[#This Row],[Valor da Entrega]])</f>
        <v>1223.7209999999998</v>
      </c>
      <c r="N29" s="4" t="str">
        <f>IF(Tabela710[[#This Row],[Id da Venda]]=C30,"",SUMIF(Tabela710[Id da Venda],Tabela710[[#This Row],[Id da Venda]],Tabela710[Total]))</f>
        <v/>
      </c>
    </row>
    <row r="30" spans="3:14" x14ac:dyDescent="0.25">
      <c r="C30" s="38">
        <v>1</v>
      </c>
      <c r="D30" s="40">
        <v>42187</v>
      </c>
      <c r="E30" s="38" t="s">
        <v>36</v>
      </c>
      <c r="F30" s="38" t="str">
        <f>IFERROR(VLOOKUP(Tabela710[[#This Row],[Produtos]],Calculos!$F$4:$I$33,4,FALSE),"")</f>
        <v>Unidade</v>
      </c>
      <c r="G30" s="38">
        <v>1</v>
      </c>
      <c r="H30" s="34">
        <f>IFERROR(VLOOKUP(Tabela710[[#This Row],[Produtos]],Calculos!$F$4:$I$33,3,FALSE),0)</f>
        <v>2.99</v>
      </c>
      <c r="I30" s="34">
        <f>Tabela710[[#This Row],[Preço Unitário]]*Tabela710[[#This Row],[Quantidade]]</f>
        <v>2.99</v>
      </c>
      <c r="J30" s="39"/>
      <c r="K30" s="38" t="s">
        <v>122</v>
      </c>
      <c r="L30" s="34">
        <f>VLOOKUP(Tabela710[[#This Row],[Entrega]],Calculos!$A$5:$B$9,2,FALSE)</f>
        <v>8</v>
      </c>
      <c r="M30" s="3">
        <f>Tabela710[[#This Row],[SubTotal]]*(1-Tabela710[[#This Row],[Desconto]]+Tabela710[[#This Row],[Valor da Entrega]])</f>
        <v>26.910000000000004</v>
      </c>
      <c r="N30" s="4">
        <f>IF(Tabela710[[#This Row],[Id da Venda]]=C31,"",SUMIF(Tabela710[Id da Venda],Tabela710[[#This Row],[Id da Venda]],Tabela710[Total]))</f>
        <v>1310.4309999999998</v>
      </c>
    </row>
    <row r="34" spans="3:14" ht="26.25" x14ac:dyDescent="0.4">
      <c r="C34" s="60" t="s">
        <v>124</v>
      </c>
      <c r="D34" s="60"/>
      <c r="E34" s="60"/>
      <c r="F34" s="60"/>
      <c r="G34" s="60"/>
      <c r="M34" s="61">
        <f>SUM(Tabela710[Total Cliente])</f>
        <v>6576.3384999999989</v>
      </c>
      <c r="N34" s="61"/>
    </row>
    <row r="36" spans="3:14" x14ac:dyDescent="0.25">
      <c r="C36" s="60" t="s">
        <v>125</v>
      </c>
      <c r="D36" s="62"/>
      <c r="E36" s="62"/>
      <c r="F36" s="62"/>
      <c r="G36" s="62"/>
      <c r="M36" s="61">
        <f>SUM(Tabela710[Valor da Entrega])</f>
        <v>130</v>
      </c>
      <c r="N36" s="61"/>
    </row>
    <row r="37" spans="3:14" x14ac:dyDescent="0.25">
      <c r="C37" s="62"/>
      <c r="D37" s="62"/>
      <c r="E37" s="62"/>
      <c r="F37" s="62"/>
      <c r="G37" s="62"/>
      <c r="M37" s="61"/>
      <c r="N37" s="61"/>
    </row>
    <row r="39" spans="3:14" x14ac:dyDescent="0.25">
      <c r="C39" s="60" t="s">
        <v>139</v>
      </c>
      <c r="D39" s="62"/>
      <c r="E39" s="62"/>
      <c r="F39" s="62"/>
      <c r="G39" s="62"/>
      <c r="M39" s="59">
        <f>SUM(IF(FREQUENCY(Tabela710[Id da Venda],Tabela710[Id da Venda])&gt;0,1,0))</f>
        <v>13</v>
      </c>
      <c r="N39" s="59"/>
    </row>
    <row r="40" spans="3:14" x14ac:dyDescent="0.25">
      <c r="C40" s="62"/>
      <c r="D40" s="62"/>
      <c r="E40" s="62"/>
      <c r="F40" s="62"/>
      <c r="G40" s="62"/>
      <c r="M40" s="59"/>
      <c r="N40" s="59"/>
    </row>
  </sheetData>
  <mergeCells count="6">
    <mergeCell ref="C34:G34"/>
    <mergeCell ref="M34:N34"/>
    <mergeCell ref="C36:G37"/>
    <mergeCell ref="M36:N37"/>
    <mergeCell ref="C39:G40"/>
    <mergeCell ref="M39:N40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97DABF-B63C-4586-A1EA-4613E66CA9FD}">
          <x14:formula1>
            <xm:f>Calculos!$A$5:$A$9</xm:f>
          </x14:formula1>
          <xm:sqref>K6:K30</xm:sqref>
        </x14:dataValidation>
        <x14:dataValidation type="list" allowBlank="1" showInputMessage="1" showErrorMessage="1" xr:uid="{5D0C123D-533D-4BF6-B8D0-E81B275BBD90}">
          <x14:formula1>
            <xm:f>Calculos!$F$4:$F$30</xm:f>
          </x14:formula1>
          <xm:sqref>E6:E30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704FF-1C32-4CAB-9F00-F829425A6A4D}">
  <dimension ref="A3:H32"/>
  <sheetViews>
    <sheetView topLeftCell="B1" workbookViewId="0">
      <selection activeCell="F16" sqref="F16"/>
    </sheetView>
  </sheetViews>
  <sheetFormatPr defaultRowHeight="15" x14ac:dyDescent="0.25"/>
  <cols>
    <col min="1" max="1" width="19.42578125" style="73" bestFit="1" customWidth="1"/>
    <col min="2" max="2" width="19.7109375" style="73" bestFit="1" customWidth="1"/>
    <col min="3" max="3" width="13.5703125" style="73" bestFit="1" customWidth="1"/>
    <col min="4" max="4" width="21.5703125" style="73" bestFit="1" customWidth="1"/>
    <col min="5" max="5" width="18" style="73" bestFit="1" customWidth="1"/>
    <col min="6" max="6" width="19.7109375" style="73" bestFit="1" customWidth="1"/>
    <col min="7" max="7" width="23.85546875" style="73" bestFit="1" customWidth="1"/>
    <col min="8" max="8" width="13.5703125" style="73" bestFit="1" customWidth="1"/>
    <col min="9" max="16384" width="9.140625" style="73"/>
  </cols>
  <sheetData>
    <row r="3" spans="1:8" x14ac:dyDescent="0.25">
      <c r="A3" s="73" t="s">
        <v>158</v>
      </c>
      <c r="B3" s="73" t="s">
        <v>160</v>
      </c>
      <c r="C3" s="73" t="s">
        <v>161</v>
      </c>
    </row>
    <row r="4" spans="1:8" x14ac:dyDescent="0.25">
      <c r="A4" s="76">
        <v>42187</v>
      </c>
      <c r="B4" s="74">
        <v>23</v>
      </c>
      <c r="C4" s="88">
        <v>1898.1329999999998</v>
      </c>
      <c r="E4" s="75" t="s">
        <v>158</v>
      </c>
      <c r="F4" s="73" t="s">
        <v>160</v>
      </c>
      <c r="G4" s="73" t="s">
        <v>162</v>
      </c>
      <c r="H4" s="73" t="s">
        <v>161</v>
      </c>
    </row>
    <row r="5" spans="1:8" x14ac:dyDescent="0.25">
      <c r="A5" s="78" t="s">
        <v>36</v>
      </c>
      <c r="B5" s="74">
        <v>1</v>
      </c>
      <c r="C5" s="88">
        <v>26.910000000000004</v>
      </c>
      <c r="E5" s="77" t="s">
        <v>119</v>
      </c>
      <c r="F5" s="74">
        <v>33</v>
      </c>
      <c r="G5" s="88">
        <v>25</v>
      </c>
      <c r="H5" s="88">
        <v>2562.48</v>
      </c>
    </row>
    <row r="6" spans="1:8" x14ac:dyDescent="0.25">
      <c r="A6" s="78" t="s">
        <v>40</v>
      </c>
      <c r="B6" s="74">
        <v>3</v>
      </c>
      <c r="C6" s="88">
        <v>77.699999999999989</v>
      </c>
      <c r="E6" s="77" t="s">
        <v>120</v>
      </c>
      <c r="F6" s="74">
        <v>30</v>
      </c>
      <c r="G6" s="88">
        <v>0</v>
      </c>
      <c r="H6" s="88">
        <v>235.8725</v>
      </c>
    </row>
    <row r="7" spans="1:8" x14ac:dyDescent="0.25">
      <c r="A7" s="78" t="s">
        <v>75</v>
      </c>
      <c r="B7" s="74">
        <v>2</v>
      </c>
      <c r="C7" s="88">
        <v>35.372000000000007</v>
      </c>
      <c r="E7" s="77" t="s">
        <v>121</v>
      </c>
      <c r="F7" s="74">
        <v>54</v>
      </c>
      <c r="G7" s="88">
        <v>32.5</v>
      </c>
      <c r="H7" s="88">
        <v>2745.1040000000003</v>
      </c>
    </row>
    <row r="8" spans="1:8" x14ac:dyDescent="0.25">
      <c r="A8" s="78" t="s">
        <v>42</v>
      </c>
      <c r="B8" s="74">
        <v>5</v>
      </c>
      <c r="C8" s="88">
        <v>155.25</v>
      </c>
      <c r="E8" s="77" t="s">
        <v>122</v>
      </c>
      <c r="F8" s="74">
        <v>19.5</v>
      </c>
      <c r="G8" s="88">
        <v>40</v>
      </c>
      <c r="H8" s="88">
        <v>371.20500000000004</v>
      </c>
    </row>
    <row r="9" spans="1:8" x14ac:dyDescent="0.25">
      <c r="A9" s="78" t="s">
        <v>35</v>
      </c>
      <c r="B9" s="74">
        <v>6</v>
      </c>
      <c r="C9" s="88">
        <v>261.90000000000003</v>
      </c>
      <c r="E9" s="77" t="s">
        <v>123</v>
      </c>
      <c r="F9" s="74">
        <v>25</v>
      </c>
      <c r="G9" s="88">
        <v>32.5</v>
      </c>
      <c r="H9" s="88">
        <v>661.67700000000013</v>
      </c>
    </row>
    <row r="10" spans="1:8" x14ac:dyDescent="0.25">
      <c r="A10" s="78" t="s">
        <v>44</v>
      </c>
      <c r="B10" s="74">
        <v>1</v>
      </c>
      <c r="C10" s="88">
        <v>57.480000000000004</v>
      </c>
      <c r="E10" s="77" t="s">
        <v>159</v>
      </c>
      <c r="F10" s="74">
        <v>161.5</v>
      </c>
      <c r="G10" s="88">
        <v>130</v>
      </c>
      <c r="H10" s="88">
        <v>6576.3384999999998</v>
      </c>
    </row>
    <row r="11" spans="1:8" x14ac:dyDescent="0.25">
      <c r="A11" s="78" t="s">
        <v>41</v>
      </c>
      <c r="B11" s="74">
        <v>2</v>
      </c>
      <c r="C11" s="88">
        <v>59.8</v>
      </c>
    </row>
    <row r="12" spans="1:8" x14ac:dyDescent="0.25">
      <c r="A12" s="78" t="s">
        <v>47</v>
      </c>
      <c r="B12" s="74">
        <v>3</v>
      </c>
      <c r="C12" s="88">
        <v>1223.7209999999998</v>
      </c>
    </row>
    <row r="13" spans="1:8" x14ac:dyDescent="0.25">
      <c r="A13" s="76">
        <v>42188</v>
      </c>
      <c r="B13" s="74">
        <v>72.5</v>
      </c>
      <c r="C13" s="88">
        <v>3315.1759999999999</v>
      </c>
    </row>
    <row r="14" spans="1:8" x14ac:dyDescent="0.25">
      <c r="A14" s="78" t="s">
        <v>46</v>
      </c>
      <c r="B14" s="74">
        <v>5</v>
      </c>
      <c r="C14" s="88">
        <v>80.810999999999993</v>
      </c>
    </row>
    <row r="15" spans="1:8" x14ac:dyDescent="0.25">
      <c r="A15" s="78" t="s">
        <v>70</v>
      </c>
      <c r="B15" s="74">
        <v>2</v>
      </c>
      <c r="C15" s="88">
        <v>74.850000000000009</v>
      </c>
    </row>
    <row r="16" spans="1:8" x14ac:dyDescent="0.25">
      <c r="A16" s="78" t="s">
        <v>72</v>
      </c>
      <c r="B16" s="74">
        <v>1.5</v>
      </c>
      <c r="C16" s="88">
        <v>91.125</v>
      </c>
    </row>
    <row r="17" spans="1:3" x14ac:dyDescent="0.25">
      <c r="A17" s="78" t="s">
        <v>48</v>
      </c>
      <c r="B17" s="74">
        <v>4</v>
      </c>
      <c r="C17" s="88">
        <v>62.400000000000006</v>
      </c>
    </row>
    <row r="18" spans="1:3" x14ac:dyDescent="0.25">
      <c r="A18" s="78" t="s">
        <v>34</v>
      </c>
      <c r="B18" s="74">
        <v>20</v>
      </c>
      <c r="C18" s="88">
        <v>81.320000000000007</v>
      </c>
    </row>
    <row r="19" spans="1:3" x14ac:dyDescent="0.25">
      <c r="A19" s="78" t="s">
        <v>38</v>
      </c>
      <c r="B19" s="74">
        <v>20</v>
      </c>
      <c r="C19" s="88">
        <v>1047.0000000000002</v>
      </c>
    </row>
    <row r="20" spans="1:3" x14ac:dyDescent="0.25">
      <c r="A20" s="78" t="s">
        <v>67</v>
      </c>
      <c r="B20" s="74">
        <v>2</v>
      </c>
      <c r="C20" s="88">
        <v>26.82</v>
      </c>
    </row>
    <row r="21" spans="1:3" x14ac:dyDescent="0.25">
      <c r="A21" s="78" t="s">
        <v>74</v>
      </c>
      <c r="B21" s="74">
        <v>6</v>
      </c>
      <c r="C21" s="88">
        <v>130.05000000000001</v>
      </c>
    </row>
    <row r="22" spans="1:3" x14ac:dyDescent="0.25">
      <c r="A22" s="78" t="s">
        <v>39</v>
      </c>
      <c r="B22" s="74">
        <v>12</v>
      </c>
      <c r="C22" s="88">
        <v>1720.7999999999997</v>
      </c>
    </row>
    <row r="23" spans="1:3" x14ac:dyDescent="0.25">
      <c r="A23" s="76">
        <v>42189</v>
      </c>
      <c r="B23" s="74">
        <v>21</v>
      </c>
      <c r="C23" s="88">
        <v>660.55250000000012</v>
      </c>
    </row>
    <row r="24" spans="1:3" x14ac:dyDescent="0.25">
      <c r="A24" s="78" t="s">
        <v>66</v>
      </c>
      <c r="B24" s="74">
        <v>1</v>
      </c>
      <c r="C24" s="88">
        <v>1.0924999999999998</v>
      </c>
    </row>
    <row r="25" spans="1:3" x14ac:dyDescent="0.25">
      <c r="A25" s="78" t="s">
        <v>49</v>
      </c>
      <c r="B25" s="74">
        <v>10</v>
      </c>
      <c r="C25" s="88">
        <v>71.100000000000009</v>
      </c>
    </row>
    <row r="26" spans="1:3" x14ac:dyDescent="0.25">
      <c r="A26" s="78" t="s">
        <v>37</v>
      </c>
      <c r="B26" s="74">
        <v>6</v>
      </c>
      <c r="C26" s="88">
        <v>572.40000000000009</v>
      </c>
    </row>
    <row r="27" spans="1:3" x14ac:dyDescent="0.25">
      <c r="A27" s="78" t="s">
        <v>43</v>
      </c>
      <c r="B27" s="74">
        <v>4</v>
      </c>
      <c r="C27" s="88">
        <v>15.96</v>
      </c>
    </row>
    <row r="28" spans="1:3" x14ac:dyDescent="0.25">
      <c r="A28" s="76">
        <v>42190</v>
      </c>
      <c r="B28" s="74">
        <v>45</v>
      </c>
      <c r="C28" s="88">
        <v>702.47700000000009</v>
      </c>
    </row>
    <row r="29" spans="1:3" x14ac:dyDescent="0.25">
      <c r="A29" s="78" t="s">
        <v>45</v>
      </c>
      <c r="B29" s="74">
        <v>1</v>
      </c>
      <c r="C29" s="88">
        <v>8.625</v>
      </c>
    </row>
    <row r="30" spans="1:3" x14ac:dyDescent="0.25">
      <c r="A30" s="78" t="s">
        <v>33</v>
      </c>
      <c r="B30" s="74">
        <v>20</v>
      </c>
      <c r="C30" s="88">
        <v>335.65200000000004</v>
      </c>
    </row>
    <row r="31" spans="1:3" x14ac:dyDescent="0.25">
      <c r="A31" s="78" t="s">
        <v>50</v>
      </c>
      <c r="B31" s="74">
        <v>24</v>
      </c>
      <c r="C31" s="88">
        <v>358.2</v>
      </c>
    </row>
    <row r="32" spans="1:3" x14ac:dyDescent="0.25">
      <c r="A32" s="76" t="s">
        <v>159</v>
      </c>
      <c r="B32" s="74">
        <v>161.5</v>
      </c>
      <c r="C32" s="88">
        <v>6576.3384999999998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4C0C-73E9-494B-A900-0BF01E4F5D6F}">
  <sheetPr codeName="Planilha11"/>
  <dimension ref="B1:N40"/>
  <sheetViews>
    <sheetView showGridLines="0" workbookViewId="0">
      <selection activeCell="H29" sqref="H29"/>
    </sheetView>
  </sheetViews>
  <sheetFormatPr defaultRowHeight="15" x14ac:dyDescent="0.25"/>
  <cols>
    <col min="1" max="1" width="11.42578125" style="38" customWidth="1"/>
    <col min="2" max="2" width="14.28515625" style="38" customWidth="1"/>
    <col min="3" max="3" width="13.5703125" style="38" customWidth="1"/>
    <col min="4" max="4" width="15.85546875" style="38" customWidth="1"/>
    <col min="5" max="5" width="13.85546875" style="38" customWidth="1"/>
    <col min="6" max="6" width="10.5703125" style="38" customWidth="1"/>
    <col min="7" max="7" width="13.5703125" style="38" customWidth="1"/>
    <col min="8" max="8" width="15.7109375" style="38" customWidth="1"/>
    <col min="9" max="9" width="10.85546875" style="38" customWidth="1"/>
    <col min="10" max="10" width="11.42578125" style="38" customWidth="1"/>
    <col min="11" max="11" width="11.7109375" style="38" customWidth="1"/>
    <col min="12" max="12" width="17.5703125" style="38" customWidth="1"/>
    <col min="13" max="13" width="13.28515625" style="38" customWidth="1"/>
    <col min="14" max="14" width="14.42578125" style="38" customWidth="1"/>
    <col min="15" max="16384" width="9.140625" style="38"/>
  </cols>
  <sheetData>
    <row r="1" spans="2:14" s="1" customFormat="1" ht="40.5" customHeight="1" x14ac:dyDescent="0.35">
      <c r="B1" s="5" t="s">
        <v>127</v>
      </c>
    </row>
    <row r="2" spans="2:14" s="1" customFormat="1" ht="12.75" customHeight="1" x14ac:dyDescent="0.2"/>
    <row r="3" spans="2:14" ht="12.75" customHeight="1" x14ac:dyDescent="0.25"/>
    <row r="5" spans="2:14" x14ac:dyDescent="0.25">
      <c r="C5" s="38" t="s">
        <v>109</v>
      </c>
      <c r="D5" s="38" t="s">
        <v>110</v>
      </c>
      <c r="E5" s="38" t="s">
        <v>61</v>
      </c>
      <c r="F5" s="38" t="s">
        <v>55</v>
      </c>
      <c r="G5" s="38" t="s">
        <v>56</v>
      </c>
      <c r="H5" s="38" t="s">
        <v>111</v>
      </c>
      <c r="I5" s="38" t="s">
        <v>112</v>
      </c>
      <c r="J5" s="38" t="s">
        <v>58</v>
      </c>
      <c r="K5" s="38" t="s">
        <v>113</v>
      </c>
      <c r="L5" s="38" t="s">
        <v>114</v>
      </c>
      <c r="M5" s="38" t="s">
        <v>115</v>
      </c>
      <c r="N5" s="38" t="s">
        <v>116</v>
      </c>
    </row>
    <row r="6" spans="2:14" x14ac:dyDescent="0.25">
      <c r="C6" s="38">
        <v>13</v>
      </c>
      <c r="D6" s="40">
        <v>42190</v>
      </c>
      <c r="E6" s="38" t="s">
        <v>33</v>
      </c>
      <c r="F6" s="38" t="str">
        <f>IFERROR(VLOOKUP(Tabela712[[#This Row],[Produtos]],Calculos!$F$4:$I$33,4,FALSE),"")</f>
        <v>Kg</v>
      </c>
      <c r="G6" s="38">
        <v>10</v>
      </c>
      <c r="H6" s="34">
        <f>IFERROR(VLOOKUP(Tabela712[[#This Row],[Produtos]],Calculos!$F$4:$I$33,3,FALSE),0)</f>
        <v>2.4900000000000002</v>
      </c>
      <c r="I6" s="34">
        <f>Tabela712[[#This Row],[Preço Unitário]]*Tabela712[[#This Row],[Quantidade]]</f>
        <v>24.900000000000002</v>
      </c>
      <c r="J6" s="39">
        <v>0.02</v>
      </c>
      <c r="K6" s="38" t="s">
        <v>123</v>
      </c>
      <c r="L6" s="34">
        <f>VLOOKUP(Tabela712[[#This Row],[Entrega]],Calculos!$A$5:$B$9,2,FALSE)</f>
        <v>6.5</v>
      </c>
      <c r="M6" s="3">
        <f>Tabela712[[#This Row],[SubTotal]]*(1-Tabela712[[#This Row],[Desconto]]+Tabela712[[#This Row],[Valor da Entrega]])</f>
        <v>186.25200000000004</v>
      </c>
      <c r="N6" s="3" t="str">
        <f>IF(Tabela712[[#This Row],[Id da Venda]]=C7,"",SUMIF(Tabela712[Id da Venda],Tabela712[[#This Row],[Id da Venda]],Tabela712[Total]))</f>
        <v/>
      </c>
    </row>
    <row r="7" spans="2:14" x14ac:dyDescent="0.25">
      <c r="C7" s="38">
        <v>13</v>
      </c>
      <c r="D7" s="40">
        <v>42190</v>
      </c>
      <c r="E7" s="38" t="s">
        <v>45</v>
      </c>
      <c r="F7" s="38" t="str">
        <f>IFERROR(VLOOKUP(Tabela712[[#This Row],[Produtos]],Calculos!$F$4:$I$33,4,FALSE),"")</f>
        <v>Pacote</v>
      </c>
      <c r="G7" s="38">
        <v>1</v>
      </c>
      <c r="H7" s="34">
        <f>IFERROR(VLOOKUP(Tabela712[[#This Row],[Produtos]],Calculos!$F$4:$I$33,3,FALSE),0)</f>
        <v>1.1499999999999999</v>
      </c>
      <c r="I7" s="34">
        <f>Tabela712[[#This Row],[Preço Unitário]]*Tabela712[[#This Row],[Quantidade]]</f>
        <v>1.1499999999999999</v>
      </c>
      <c r="J7" s="39"/>
      <c r="K7" s="38" t="s">
        <v>123</v>
      </c>
      <c r="L7" s="34">
        <f>VLOOKUP(Tabela712[[#This Row],[Entrega]],Calculos!$A$5:$B$9,2,FALSE)</f>
        <v>6.5</v>
      </c>
      <c r="M7" s="3">
        <f>Tabela712[[#This Row],[SubTotal]]*(1-Tabela712[[#This Row],[Desconto]]+Tabela712[[#This Row],[Valor da Entrega]])</f>
        <v>8.625</v>
      </c>
      <c r="N7" s="3" t="str">
        <f>IF(Tabela712[[#This Row],[Id da Venda]]=C8,"",SUMIF(Tabela712[Id da Venda],Tabela712[[#This Row],[Id da Venda]],Tabela712[Total]))</f>
        <v/>
      </c>
    </row>
    <row r="8" spans="2:14" x14ac:dyDescent="0.25">
      <c r="C8" s="38">
        <v>13</v>
      </c>
      <c r="D8" s="40">
        <v>42190</v>
      </c>
      <c r="E8" s="38" t="s">
        <v>33</v>
      </c>
      <c r="F8" s="38" t="str">
        <f>IFERROR(VLOOKUP(Tabela712[[#This Row],[Produtos]],Calculos!$F$4:$I$33,4,FALSE),"")</f>
        <v>Kg</v>
      </c>
      <c r="G8" s="38">
        <v>10</v>
      </c>
      <c r="H8" s="34">
        <f>IFERROR(VLOOKUP(Tabela712[[#This Row],[Produtos]],Calculos!$F$4:$I$33,3,FALSE),0)</f>
        <v>2.4900000000000002</v>
      </c>
      <c r="I8" s="34">
        <f>Tabela712[[#This Row],[Preço Unitário]]*Tabela712[[#This Row],[Quantidade]]</f>
        <v>24.900000000000002</v>
      </c>
      <c r="J8" s="39"/>
      <c r="K8" s="38" t="s">
        <v>119</v>
      </c>
      <c r="L8" s="34">
        <f>VLOOKUP(Tabela712[[#This Row],[Entrega]],Calculos!$A$5:$B$9,2,FALSE)</f>
        <v>5</v>
      </c>
      <c r="M8" s="3">
        <f>Tabela712[[#This Row],[SubTotal]]*(1-Tabela712[[#This Row],[Desconto]]+Tabela712[[#This Row],[Valor da Entrega]])</f>
        <v>149.4</v>
      </c>
      <c r="N8" s="3" t="str">
        <f>IF(Tabela712[[#This Row],[Id da Venda]]=C9,"",SUMIF(Tabela712[Id da Venda],Tabela712[[#This Row],[Id da Venda]],Tabela712[Total]))</f>
        <v/>
      </c>
    </row>
    <row r="9" spans="2:14" x14ac:dyDescent="0.25">
      <c r="C9" s="38">
        <v>13</v>
      </c>
      <c r="D9" s="40">
        <v>42190</v>
      </c>
      <c r="E9" s="38" t="s">
        <v>50</v>
      </c>
      <c r="F9" s="38" t="str">
        <f>IFERROR(VLOOKUP(Tabela712[[#This Row],[Produtos]],Calculos!$F$4:$I$33,4,FALSE),"")</f>
        <v>Pacote</v>
      </c>
      <c r="G9" s="38">
        <v>24</v>
      </c>
      <c r="H9" s="34">
        <f>IFERROR(VLOOKUP(Tabela712[[#This Row],[Produtos]],Calculos!$F$4:$I$33,3,FALSE),0)</f>
        <v>1.99</v>
      </c>
      <c r="I9" s="34">
        <f>Tabela712[[#This Row],[Preço Unitário]]*Tabela712[[#This Row],[Quantidade]]</f>
        <v>47.76</v>
      </c>
      <c r="J9" s="39"/>
      <c r="K9" s="38" t="s">
        <v>121</v>
      </c>
      <c r="L9" s="34">
        <f>VLOOKUP(Tabela712[[#This Row],[Entrega]],Calculos!$A$5:$B$9,2,FALSE)</f>
        <v>6.5</v>
      </c>
      <c r="M9" s="3">
        <f>Tabela712[[#This Row],[SubTotal]]*(1-Tabela712[[#This Row],[Desconto]]+Tabela712[[#This Row],[Valor da Entrega]])</f>
        <v>358.2</v>
      </c>
      <c r="N9" s="4">
        <f>IF(Tabela712[[#This Row],[Id da Venda]]=C10,"",SUMIF(Tabela712[Id da Venda],Tabela712[[#This Row],[Id da Venda]],Tabela712[Total]))</f>
        <v>702.47700000000009</v>
      </c>
    </row>
    <row r="10" spans="2:14" x14ac:dyDescent="0.25">
      <c r="C10" s="38">
        <v>12</v>
      </c>
      <c r="D10" s="40">
        <v>42189</v>
      </c>
      <c r="E10" s="38" t="s">
        <v>66</v>
      </c>
      <c r="F10" s="38" t="str">
        <f>IFERROR(VLOOKUP(Tabela712[[#This Row],[Produtos]],Calculos!$F$4:$I$33,4,FALSE),"")</f>
        <v>Pacote</v>
      </c>
      <c r="G10" s="38">
        <v>1</v>
      </c>
      <c r="H10" s="34">
        <f>IFERROR(VLOOKUP(Tabela712[[#This Row],[Produtos]],Calculos!$F$4:$I$33,3,FALSE),0)</f>
        <v>1.1499999999999999</v>
      </c>
      <c r="I10" s="34">
        <f>Tabela712[[#This Row],[Preço Unitário]]*Tabela712[[#This Row],[Quantidade]]</f>
        <v>1.1499999999999999</v>
      </c>
      <c r="J10" s="39">
        <v>0.05</v>
      </c>
      <c r="K10" s="38" t="s">
        <v>120</v>
      </c>
      <c r="L10" s="34">
        <f>VLOOKUP(Tabela712[[#This Row],[Entrega]],Calculos!$A$5:$B$9,2,FALSE)</f>
        <v>0</v>
      </c>
      <c r="M10" s="3">
        <f>Tabela712[[#This Row],[SubTotal]]*(1-Tabela712[[#This Row],[Desconto]]+Tabela712[[#This Row],[Valor da Entrega]])</f>
        <v>1.0924999999999998</v>
      </c>
      <c r="N10" s="4">
        <f>IF(Tabela712[[#This Row],[Id da Venda]]=C11,"",SUMIF(Tabela712[Id da Venda],Tabela712[[#This Row],[Id da Venda]],Tabela712[Total]))</f>
        <v>1.0924999999999998</v>
      </c>
    </row>
    <row r="11" spans="2:14" x14ac:dyDescent="0.25">
      <c r="C11" s="38">
        <v>11</v>
      </c>
      <c r="D11" s="40">
        <v>42189</v>
      </c>
      <c r="E11" s="38" t="s">
        <v>49</v>
      </c>
      <c r="F11" s="38" t="str">
        <f>IFERROR(VLOOKUP(Tabela712[[#This Row],[Produtos]],Calculos!$F$4:$I$33,4,FALSE),"")</f>
        <v>Pacote</v>
      </c>
      <c r="G11" s="38">
        <v>10</v>
      </c>
      <c r="H11" s="34">
        <f>IFERROR(VLOOKUP(Tabela712[[#This Row],[Produtos]],Calculos!$F$4:$I$33,3,FALSE),0)</f>
        <v>0.79</v>
      </c>
      <c r="I11" s="34">
        <f>Tabela712[[#This Row],[Preço Unitário]]*Tabela712[[#This Row],[Quantidade]]</f>
        <v>7.9</v>
      </c>
      <c r="J11" s="39"/>
      <c r="K11" s="38" t="s">
        <v>122</v>
      </c>
      <c r="L11" s="34">
        <f>VLOOKUP(Tabela712[[#This Row],[Entrega]],Calculos!$A$5:$B$9,2,FALSE)</f>
        <v>8</v>
      </c>
      <c r="M11" s="3">
        <f>Tabela712[[#This Row],[SubTotal]]*(1-Tabela712[[#This Row],[Desconto]]+Tabela712[[#This Row],[Valor da Entrega]])</f>
        <v>71.100000000000009</v>
      </c>
      <c r="N11" s="4">
        <f>IF(Tabela712[[#This Row],[Id da Venda]]=C12,"",SUMIF(Tabela712[Id da Venda],Tabela712[[#This Row],[Id da Venda]],Tabela712[Total]))</f>
        <v>71.100000000000009</v>
      </c>
    </row>
    <row r="12" spans="2:14" x14ac:dyDescent="0.25">
      <c r="C12" s="38">
        <v>10</v>
      </c>
      <c r="D12" s="40">
        <v>42189</v>
      </c>
      <c r="E12" s="38" t="s">
        <v>37</v>
      </c>
      <c r="F12" s="38" t="str">
        <f>IFERROR(VLOOKUP(Tabela712[[#This Row],[Produtos]],Calculos!$F$4:$I$33,4,FALSE),"")</f>
        <v>Kg</v>
      </c>
      <c r="G12" s="38">
        <v>6</v>
      </c>
      <c r="H12" s="34">
        <f>IFERROR(VLOOKUP(Tabela712[[#This Row],[Produtos]],Calculos!$F$4:$I$33,3,FALSE),0)</f>
        <v>15.9</v>
      </c>
      <c r="I12" s="34">
        <f>Tabela712[[#This Row],[Preço Unitário]]*Tabela712[[#This Row],[Quantidade]]</f>
        <v>95.4</v>
      </c>
      <c r="J12" s="39"/>
      <c r="K12" s="38" t="s">
        <v>119</v>
      </c>
      <c r="L12" s="34">
        <f>VLOOKUP(Tabela712[[#This Row],[Entrega]],Calculos!$A$5:$B$9,2,FALSE)</f>
        <v>5</v>
      </c>
      <c r="M12" s="3">
        <f>Tabela712[[#This Row],[SubTotal]]*(1-Tabela712[[#This Row],[Desconto]]+Tabela712[[#This Row],[Valor da Entrega]])</f>
        <v>572.40000000000009</v>
      </c>
      <c r="N12" s="4" t="str">
        <f>IF(Tabela712[[#This Row],[Id da Venda]]=C13,"",SUMIF(Tabela712[Id da Venda],Tabela712[[#This Row],[Id da Venda]],Tabela712[Total]))</f>
        <v/>
      </c>
    </row>
    <row r="13" spans="2:14" x14ac:dyDescent="0.25">
      <c r="C13" s="38">
        <v>10</v>
      </c>
      <c r="D13" s="40">
        <v>42189</v>
      </c>
      <c r="E13" s="38" t="s">
        <v>43</v>
      </c>
      <c r="F13" s="38" t="str">
        <f>IFERROR(VLOOKUP(Tabela712[[#This Row],[Produtos]],Calculos!$F$4:$I$33,4,FALSE),"")</f>
        <v>Kg</v>
      </c>
      <c r="G13" s="38">
        <v>4</v>
      </c>
      <c r="H13" s="34">
        <f>IFERROR(VLOOKUP(Tabela712[[#This Row],[Produtos]],Calculos!$F$4:$I$33,3,FALSE),0)</f>
        <v>3.99</v>
      </c>
      <c r="I13" s="34">
        <f>Tabela712[[#This Row],[Preço Unitário]]*Tabela712[[#This Row],[Quantidade]]</f>
        <v>15.96</v>
      </c>
      <c r="J13" s="39"/>
      <c r="K13" s="38" t="s">
        <v>120</v>
      </c>
      <c r="L13" s="34">
        <f>VLOOKUP(Tabela712[[#This Row],[Entrega]],Calculos!$A$5:$B$9,2,FALSE)</f>
        <v>0</v>
      </c>
      <c r="M13" s="3">
        <f>Tabela712[[#This Row],[SubTotal]]*(1-Tabela712[[#This Row],[Desconto]]+Tabela712[[#This Row],[Valor da Entrega]])</f>
        <v>15.96</v>
      </c>
      <c r="N13" s="4">
        <f>IF(Tabela712[[#This Row],[Id da Venda]]=C14,"",SUMIF(Tabela712[Id da Venda],Tabela712[[#This Row],[Id da Venda]],Tabela712[Total]))</f>
        <v>588.36000000000013</v>
      </c>
    </row>
    <row r="14" spans="2:14" x14ac:dyDescent="0.25">
      <c r="C14" s="38">
        <v>9</v>
      </c>
      <c r="D14" s="40">
        <v>42188</v>
      </c>
      <c r="E14" s="38" t="s">
        <v>46</v>
      </c>
      <c r="F14" s="38" t="str">
        <f>IFERROR(VLOOKUP(Tabela712[[#This Row],[Produtos]],Calculos!$F$4:$I$33,4,FALSE),"")</f>
        <v>Lata</v>
      </c>
      <c r="G14" s="38">
        <v>5</v>
      </c>
      <c r="H14" s="34">
        <f>IFERROR(VLOOKUP(Tabela712[[#This Row],[Produtos]],Calculos!$F$4:$I$33,3,FALSE),0)</f>
        <v>2.19</v>
      </c>
      <c r="I14" s="34">
        <f>Tabela712[[#This Row],[Preço Unitário]]*Tabela712[[#This Row],[Quantidade]]</f>
        <v>10.95</v>
      </c>
      <c r="J14" s="39">
        <v>0.12</v>
      </c>
      <c r="K14" s="38" t="s">
        <v>121</v>
      </c>
      <c r="L14" s="34">
        <f>VLOOKUP(Tabela712[[#This Row],[Entrega]],Calculos!$A$5:$B$9,2,FALSE)</f>
        <v>6.5</v>
      </c>
      <c r="M14" s="3">
        <f>Tabela712[[#This Row],[SubTotal]]*(1-Tabela712[[#This Row],[Desconto]]+Tabela712[[#This Row],[Valor da Entrega]])</f>
        <v>80.810999999999993</v>
      </c>
      <c r="N14" s="4" t="str">
        <f>IF(Tabela712[[#This Row],[Id da Venda]]=C15,"",SUMIF(Tabela712[Id da Venda],Tabela712[[#This Row],[Id da Venda]],Tabela712[Total]))</f>
        <v/>
      </c>
    </row>
    <row r="15" spans="2:14" x14ac:dyDescent="0.25">
      <c r="C15" s="38">
        <v>9</v>
      </c>
      <c r="D15" s="40">
        <v>42188</v>
      </c>
      <c r="E15" s="38" t="s">
        <v>70</v>
      </c>
      <c r="F15" s="38" t="str">
        <f>IFERROR(VLOOKUP(Tabela712[[#This Row],[Produtos]],Calculos!$F$4:$I$33,4,FALSE),"")</f>
        <v>Barra</v>
      </c>
      <c r="G15" s="38">
        <v>2</v>
      </c>
      <c r="H15" s="34">
        <f>IFERROR(VLOOKUP(Tabela712[[#This Row],[Produtos]],Calculos!$F$4:$I$33,3,FALSE),0)</f>
        <v>4.99</v>
      </c>
      <c r="I15" s="34">
        <f>Tabela712[[#This Row],[Preço Unitário]]*Tabela712[[#This Row],[Quantidade]]</f>
        <v>9.98</v>
      </c>
      <c r="J15" s="39"/>
      <c r="K15" s="38" t="s">
        <v>123</v>
      </c>
      <c r="L15" s="34">
        <f>VLOOKUP(Tabela712[[#This Row],[Entrega]],Calculos!$A$5:$B$9,2,FALSE)</f>
        <v>6.5</v>
      </c>
      <c r="M15" s="3">
        <f>Tabela712[[#This Row],[SubTotal]]*(1-Tabela712[[#This Row],[Desconto]]+Tabela712[[#This Row],[Valor da Entrega]])</f>
        <v>74.850000000000009</v>
      </c>
      <c r="N15" s="4" t="str">
        <f>IF(Tabela712[[#This Row],[Id da Venda]]=C16,"",SUMIF(Tabela712[Id da Venda],Tabela712[[#This Row],[Id da Venda]],Tabela712[Total]))</f>
        <v/>
      </c>
    </row>
    <row r="16" spans="2:14" x14ac:dyDescent="0.25">
      <c r="C16" s="38">
        <v>9</v>
      </c>
      <c r="D16" s="40">
        <v>42188</v>
      </c>
      <c r="E16" s="38" t="s">
        <v>72</v>
      </c>
      <c r="F16" s="38" t="str">
        <f>IFERROR(VLOOKUP(Tabela712[[#This Row],[Produtos]],Calculos!$F$4:$I$33,4,FALSE),"")</f>
        <v>Maço</v>
      </c>
      <c r="G16" s="38">
        <v>1.5</v>
      </c>
      <c r="H16" s="34">
        <f>IFERROR(VLOOKUP(Tabela712[[#This Row],[Produtos]],Calculos!$F$4:$I$33,3,FALSE),0)</f>
        <v>6.75</v>
      </c>
      <c r="I16" s="34">
        <f>Tabela712[[#This Row],[Preço Unitário]]*Tabela712[[#This Row],[Quantidade]]</f>
        <v>10.125</v>
      </c>
      <c r="J16" s="39"/>
      <c r="K16" s="38" t="s">
        <v>122</v>
      </c>
      <c r="L16" s="34">
        <f>VLOOKUP(Tabela712[[#This Row],[Entrega]],Calculos!$A$5:$B$9,2,FALSE)</f>
        <v>8</v>
      </c>
      <c r="M16" s="3">
        <f>Tabela712[[#This Row],[SubTotal]]*(1-Tabela712[[#This Row],[Desconto]]+Tabela712[[#This Row],[Valor da Entrega]])</f>
        <v>91.125</v>
      </c>
      <c r="N16" s="4" t="str">
        <f>IF(Tabela712[[#This Row],[Id da Venda]]=C17,"",SUMIF(Tabela712[Id da Venda],Tabela712[[#This Row],[Id da Venda]],Tabela712[Total]))</f>
        <v/>
      </c>
    </row>
    <row r="17" spans="3:14" x14ac:dyDescent="0.25">
      <c r="C17" s="38">
        <v>9</v>
      </c>
      <c r="D17" s="40">
        <v>42188</v>
      </c>
      <c r="E17" s="38" t="s">
        <v>48</v>
      </c>
      <c r="F17" s="38" t="str">
        <f>IFERROR(VLOOKUP(Tabela712[[#This Row],[Produtos]],Calculos!$F$4:$I$33,4,FALSE),"")</f>
        <v>Unidade</v>
      </c>
      <c r="G17" s="38">
        <v>4</v>
      </c>
      <c r="H17" s="34">
        <f>IFERROR(VLOOKUP(Tabela712[[#This Row],[Produtos]],Calculos!$F$4:$I$33,3,FALSE),0)</f>
        <v>2.6</v>
      </c>
      <c r="I17" s="34">
        <f>Tabela712[[#This Row],[Preço Unitário]]*Tabela712[[#This Row],[Quantidade]]</f>
        <v>10.4</v>
      </c>
      <c r="J17" s="39"/>
      <c r="K17" s="38" t="s">
        <v>119</v>
      </c>
      <c r="L17" s="34">
        <f>VLOOKUP(Tabela712[[#This Row],[Entrega]],Calculos!$A$5:$B$9,2,FALSE)</f>
        <v>5</v>
      </c>
      <c r="M17" s="3">
        <f>Tabela712[[#This Row],[SubTotal]]*(1-Tabela712[[#This Row],[Desconto]]+Tabela712[[#This Row],[Valor da Entrega]])</f>
        <v>62.400000000000006</v>
      </c>
      <c r="N17" s="4">
        <f>IF(Tabela712[[#This Row],[Id da Venda]]=C18,"",SUMIF(Tabela712[Id da Venda],Tabela712[[#This Row],[Id da Venda]],Tabela712[Total]))</f>
        <v>309.18600000000004</v>
      </c>
    </row>
    <row r="18" spans="3:14" x14ac:dyDescent="0.25">
      <c r="C18" s="38">
        <v>8</v>
      </c>
      <c r="D18" s="40">
        <v>42188</v>
      </c>
      <c r="E18" s="38" t="s">
        <v>34</v>
      </c>
      <c r="F18" s="38" t="str">
        <f>IFERROR(VLOOKUP(Tabela712[[#This Row],[Produtos]],Calculos!$F$4:$I$33,4,FALSE),"")</f>
        <v>Kg</v>
      </c>
      <c r="G18" s="38">
        <v>20</v>
      </c>
      <c r="H18" s="34">
        <f>IFERROR(VLOOKUP(Tabela712[[#This Row],[Produtos]],Calculos!$F$4:$I$33,3,FALSE),0)</f>
        <v>4.28</v>
      </c>
      <c r="I18" s="34">
        <f>Tabela712[[#This Row],[Preço Unitário]]*Tabela712[[#This Row],[Quantidade]]</f>
        <v>85.600000000000009</v>
      </c>
      <c r="J18" s="39">
        <v>0.05</v>
      </c>
      <c r="K18" s="38" t="s">
        <v>120</v>
      </c>
      <c r="L18" s="34">
        <f>VLOOKUP(Tabela712[[#This Row],[Entrega]],Calculos!$A$5:$B$9,2,FALSE)</f>
        <v>0</v>
      </c>
      <c r="M18" s="3">
        <f>Tabela712[[#This Row],[SubTotal]]*(1-Tabela712[[#This Row],[Desconto]]+Tabela712[[#This Row],[Valor da Entrega]])</f>
        <v>81.320000000000007</v>
      </c>
      <c r="N18" s="4">
        <f>IF(Tabela712[[#This Row],[Id da Venda]]=C19,"",SUMIF(Tabela712[Id da Venda],Tabela712[[#This Row],[Id da Venda]],Tabela712[Total]))</f>
        <v>81.320000000000007</v>
      </c>
    </row>
    <row r="19" spans="3:14" x14ac:dyDescent="0.25">
      <c r="C19" s="38">
        <v>7</v>
      </c>
      <c r="D19" s="40">
        <v>42188</v>
      </c>
      <c r="E19" s="38" t="s">
        <v>38</v>
      </c>
      <c r="F19" s="38" t="str">
        <f>IFERROR(VLOOKUP(Tabela712[[#This Row],[Produtos]],Calculos!$F$4:$I$33,4,FALSE),"")</f>
        <v>Kg</v>
      </c>
      <c r="G19" s="38">
        <v>20</v>
      </c>
      <c r="H19" s="34">
        <f>IFERROR(VLOOKUP(Tabela712[[#This Row],[Produtos]],Calculos!$F$4:$I$33,3,FALSE),0)</f>
        <v>6.98</v>
      </c>
      <c r="I19" s="34">
        <f>Tabela712[[#This Row],[Preço Unitário]]*Tabela712[[#This Row],[Quantidade]]</f>
        <v>139.60000000000002</v>
      </c>
      <c r="J19" s="39"/>
      <c r="K19" s="38" t="s">
        <v>121</v>
      </c>
      <c r="L19" s="34">
        <f>VLOOKUP(Tabela712[[#This Row],[Entrega]],Calculos!$A$5:$B$9,2,FALSE)</f>
        <v>6.5</v>
      </c>
      <c r="M19" s="3">
        <f>Tabela712[[#This Row],[SubTotal]]*(1-Tabela712[[#This Row],[Desconto]]+Tabela712[[#This Row],[Valor da Entrega]])</f>
        <v>1047.0000000000002</v>
      </c>
      <c r="N19" s="4">
        <f>IF(Tabela712[[#This Row],[Id da Venda]]=C20,"",SUMIF(Tabela712[Id da Venda],Tabela712[[#This Row],[Id da Venda]],Tabela712[Total]))</f>
        <v>1047.0000000000002</v>
      </c>
    </row>
    <row r="20" spans="3:14" x14ac:dyDescent="0.25">
      <c r="C20" s="38">
        <v>6</v>
      </c>
      <c r="D20" s="40">
        <v>42188</v>
      </c>
      <c r="E20" s="38" t="s">
        <v>67</v>
      </c>
      <c r="F20" s="38" t="str">
        <f>IFERROR(VLOOKUP(Tabela712[[#This Row],[Produtos]],Calculos!$F$4:$I$33,4,FALSE),"")</f>
        <v>Litro</v>
      </c>
      <c r="G20" s="38">
        <v>2</v>
      </c>
      <c r="H20" s="34">
        <f>IFERROR(VLOOKUP(Tabela712[[#This Row],[Produtos]],Calculos!$F$4:$I$33,3,FALSE),0)</f>
        <v>1.49</v>
      </c>
      <c r="I20" s="34">
        <f>Tabela712[[#This Row],[Preço Unitário]]*Tabela712[[#This Row],[Quantidade]]</f>
        <v>2.98</v>
      </c>
      <c r="J20" s="39"/>
      <c r="K20" s="38" t="s">
        <v>122</v>
      </c>
      <c r="L20" s="34">
        <f>VLOOKUP(Tabela712[[#This Row],[Entrega]],Calculos!$A$5:$B$9,2,FALSE)</f>
        <v>8</v>
      </c>
      <c r="M20" s="3">
        <f>Tabela712[[#This Row],[SubTotal]]*(1-Tabela712[[#This Row],[Desconto]]+Tabela712[[#This Row],[Valor da Entrega]])</f>
        <v>26.82</v>
      </c>
      <c r="N20" s="4" t="str">
        <f>IF(Tabela712[[#This Row],[Id da Venda]]=C21,"",SUMIF(Tabela712[Id da Venda],Tabela712[[#This Row],[Id da Venda]],Tabela712[Total]))</f>
        <v/>
      </c>
    </row>
    <row r="21" spans="3:14" x14ac:dyDescent="0.25">
      <c r="C21" s="38">
        <v>6</v>
      </c>
      <c r="D21" s="40">
        <v>42188</v>
      </c>
      <c r="E21" s="38" t="s">
        <v>74</v>
      </c>
      <c r="F21" s="38" t="str">
        <f>IFERROR(VLOOKUP(Tabela712[[#This Row],[Produtos]],Calculos!$F$4:$I$33,4,FALSE),"")</f>
        <v>Unidade</v>
      </c>
      <c r="G21" s="38">
        <v>6</v>
      </c>
      <c r="H21" s="34">
        <f>IFERROR(VLOOKUP(Tabela712[[#This Row],[Produtos]],Calculos!$F$4:$I$33,3,FALSE),0)</f>
        <v>2.89</v>
      </c>
      <c r="I21" s="34">
        <f>Tabela712[[#This Row],[Preço Unitário]]*Tabela712[[#This Row],[Quantidade]]</f>
        <v>17.34</v>
      </c>
      <c r="J21" s="39"/>
      <c r="K21" s="38" t="s">
        <v>123</v>
      </c>
      <c r="L21" s="34">
        <f>VLOOKUP(Tabela712[[#This Row],[Entrega]],Calculos!$A$5:$B$9,2,FALSE)</f>
        <v>6.5</v>
      </c>
      <c r="M21" s="3">
        <f>Tabela712[[#This Row],[SubTotal]]*(1-Tabela712[[#This Row],[Desconto]]+Tabela712[[#This Row],[Valor da Entrega]])</f>
        <v>130.05000000000001</v>
      </c>
      <c r="N21" s="4" t="str">
        <f>IF(Tabela712[[#This Row],[Id da Venda]]=C22,"",SUMIF(Tabela712[Id da Venda],Tabela712[[#This Row],[Id da Venda]],Tabela712[Total]))</f>
        <v/>
      </c>
    </row>
    <row r="22" spans="3:14" x14ac:dyDescent="0.25">
      <c r="C22" s="38">
        <v>6</v>
      </c>
      <c r="D22" s="40">
        <v>42188</v>
      </c>
      <c r="E22" s="38" t="s">
        <v>39</v>
      </c>
      <c r="F22" s="38" t="str">
        <f>IFERROR(VLOOKUP(Tabela712[[#This Row],[Produtos]],Calculos!$F$4:$I$33,4,FALSE),"")</f>
        <v>Kg</v>
      </c>
      <c r="G22" s="38">
        <v>12</v>
      </c>
      <c r="H22" s="34">
        <f>IFERROR(VLOOKUP(Tabela712[[#This Row],[Produtos]],Calculos!$F$4:$I$33,3,FALSE),0)</f>
        <v>23.9</v>
      </c>
      <c r="I22" s="34">
        <f>Tabela712[[#This Row],[Preço Unitário]]*Tabela712[[#This Row],[Quantidade]]</f>
        <v>286.79999999999995</v>
      </c>
      <c r="J22" s="39"/>
      <c r="K22" s="38" t="s">
        <v>119</v>
      </c>
      <c r="L22" s="34">
        <f>VLOOKUP(Tabela712[[#This Row],[Entrega]],Calculos!$A$5:$B$9,2,FALSE)</f>
        <v>5</v>
      </c>
      <c r="M22" s="3">
        <f>Tabela712[[#This Row],[SubTotal]]*(1-Tabela712[[#This Row],[Desconto]]+Tabela712[[#This Row],[Valor da Entrega]])</f>
        <v>1720.7999999999997</v>
      </c>
      <c r="N22" s="4">
        <f>IF(Tabela712[[#This Row],[Id da Venda]]=C23,"",SUMIF(Tabela712[Id da Venda],Tabela712[[#This Row],[Id da Venda]],Tabela712[Total]))</f>
        <v>1877.6699999999996</v>
      </c>
    </row>
    <row r="23" spans="3:14" x14ac:dyDescent="0.25">
      <c r="C23" s="38">
        <v>5</v>
      </c>
      <c r="D23" s="40">
        <v>42187</v>
      </c>
      <c r="E23" s="38" t="s">
        <v>40</v>
      </c>
      <c r="F23" s="38" t="str">
        <f>IFERROR(VLOOKUP(Tabela712[[#This Row],[Produtos]],Calculos!$F$4:$I$33,4,FALSE),"")</f>
        <v>Kg</v>
      </c>
      <c r="G23" s="38">
        <v>3</v>
      </c>
      <c r="H23" s="34">
        <f>IFERROR(VLOOKUP(Tabela712[[#This Row],[Produtos]],Calculos!$F$4:$I$33,3,FALSE),0)</f>
        <v>25.9</v>
      </c>
      <c r="I23" s="34">
        <f>Tabela712[[#This Row],[Preço Unitário]]*Tabela712[[#This Row],[Quantidade]]</f>
        <v>77.699999999999989</v>
      </c>
      <c r="J23" s="39"/>
      <c r="K23" s="38" t="s">
        <v>120</v>
      </c>
      <c r="L23" s="34">
        <f>VLOOKUP(Tabela712[[#This Row],[Entrega]],Calculos!$A$5:$B$9,2,FALSE)</f>
        <v>0</v>
      </c>
      <c r="M23" s="3">
        <f>Tabela712[[#This Row],[SubTotal]]*(1-Tabela712[[#This Row],[Desconto]]+Tabela712[[#This Row],[Valor da Entrega]])</f>
        <v>77.699999999999989</v>
      </c>
      <c r="N23" s="4">
        <f>IF(Tabela712[[#This Row],[Id da Venda]]=C24,"",SUMIF(Tabela712[Id da Venda],Tabela712[[#This Row],[Id da Venda]],Tabela712[Total]))</f>
        <v>77.699999999999989</v>
      </c>
    </row>
    <row r="24" spans="3:14" x14ac:dyDescent="0.25">
      <c r="C24" s="38">
        <v>4</v>
      </c>
      <c r="D24" s="40">
        <v>42187</v>
      </c>
      <c r="E24" s="38" t="s">
        <v>75</v>
      </c>
      <c r="F24" s="38" t="str">
        <f>IFERROR(VLOOKUP(Tabela712[[#This Row],[Produtos]],Calculos!$F$4:$I$33,4,FALSE),"")</f>
        <v>Litro</v>
      </c>
      <c r="G24" s="38">
        <v>2</v>
      </c>
      <c r="H24" s="34">
        <f>IFERROR(VLOOKUP(Tabela712[[#This Row],[Produtos]],Calculos!$F$4:$I$33,3,FALSE),0)</f>
        <v>2.39</v>
      </c>
      <c r="I24" s="34">
        <f>Tabela712[[#This Row],[Preço Unitário]]*Tabela712[[#This Row],[Quantidade]]</f>
        <v>4.78</v>
      </c>
      <c r="J24" s="39">
        <v>0.1</v>
      </c>
      <c r="K24" s="38" t="s">
        <v>121</v>
      </c>
      <c r="L24" s="34">
        <f>VLOOKUP(Tabela712[[#This Row],[Entrega]],Calculos!$A$5:$B$9,2,FALSE)</f>
        <v>6.5</v>
      </c>
      <c r="M24" s="3">
        <f>Tabela712[[#This Row],[SubTotal]]*(1-Tabela712[[#This Row],[Desconto]]+Tabela712[[#This Row],[Valor da Entrega]])</f>
        <v>35.372000000000007</v>
      </c>
      <c r="N24" s="4" t="str">
        <f>IF(Tabela712[[#This Row],[Id da Venda]]=C25,"",SUMIF(Tabela712[Id da Venda],Tabela712[[#This Row],[Id da Venda]],Tabela712[Total]))</f>
        <v/>
      </c>
    </row>
    <row r="25" spans="3:14" x14ac:dyDescent="0.25">
      <c r="C25" s="38">
        <v>4</v>
      </c>
      <c r="D25" s="40">
        <v>42187</v>
      </c>
      <c r="E25" s="38" t="s">
        <v>42</v>
      </c>
      <c r="F25" s="38" t="str">
        <f>IFERROR(VLOOKUP(Tabela712[[#This Row],[Produtos]],Calculos!$F$4:$I$33,4,FALSE),"")</f>
        <v>Litro</v>
      </c>
      <c r="G25" s="38">
        <v>5</v>
      </c>
      <c r="H25" s="34">
        <f>IFERROR(VLOOKUP(Tabela712[[#This Row],[Produtos]],Calculos!$F$4:$I$33,3,FALSE),0)</f>
        <v>3.45</v>
      </c>
      <c r="I25" s="34">
        <f>Tabela712[[#This Row],[Preço Unitário]]*Tabela712[[#This Row],[Quantidade]]</f>
        <v>17.25</v>
      </c>
      <c r="J25" s="39"/>
      <c r="K25" s="38" t="s">
        <v>122</v>
      </c>
      <c r="L25" s="34">
        <f>VLOOKUP(Tabela712[[#This Row],[Entrega]],Calculos!$A$5:$B$9,2,FALSE)</f>
        <v>8</v>
      </c>
      <c r="M25" s="3">
        <f>Tabela712[[#This Row],[SubTotal]]*(1-Tabela712[[#This Row],[Desconto]]+Tabela712[[#This Row],[Valor da Entrega]])</f>
        <v>155.25</v>
      </c>
      <c r="N25" s="4">
        <f>IF(Tabela712[[#This Row],[Id da Venda]]=C26,"",SUMIF(Tabela712[Id da Venda],Tabela712[[#This Row],[Id da Venda]],Tabela712[Total]))</f>
        <v>190.62200000000001</v>
      </c>
    </row>
    <row r="26" spans="3:14" x14ac:dyDescent="0.25">
      <c r="C26" s="38">
        <v>3</v>
      </c>
      <c r="D26" s="40">
        <v>42187</v>
      </c>
      <c r="E26" s="38" t="s">
        <v>35</v>
      </c>
      <c r="F26" s="38" t="str">
        <f>IFERROR(VLOOKUP(Tabela712[[#This Row],[Produtos]],Calculos!$F$4:$I$33,4,FALSE),"")</f>
        <v>Kg</v>
      </c>
      <c r="G26" s="38">
        <v>6</v>
      </c>
      <c r="H26" s="34">
        <f>IFERROR(VLOOKUP(Tabela712[[#This Row],[Produtos]],Calculos!$F$4:$I$33,3,FALSE),0)</f>
        <v>5.82</v>
      </c>
      <c r="I26" s="34">
        <f>Tabela712[[#This Row],[Preço Unitário]]*Tabela712[[#This Row],[Quantidade]]</f>
        <v>34.92</v>
      </c>
      <c r="J26" s="39"/>
      <c r="K26" s="38" t="s">
        <v>123</v>
      </c>
      <c r="L26" s="34">
        <f>VLOOKUP(Tabela712[[#This Row],[Entrega]],Calculos!$A$5:$B$9,2,FALSE)</f>
        <v>6.5</v>
      </c>
      <c r="M26" s="3">
        <f>Tabela712[[#This Row],[SubTotal]]*(1-Tabela712[[#This Row],[Desconto]]+Tabela712[[#This Row],[Valor da Entrega]])</f>
        <v>261.90000000000003</v>
      </c>
      <c r="N26" s="4">
        <f>IF(Tabela712[[#This Row],[Id da Venda]]=C27,"",SUMIF(Tabela712[Id da Venda],Tabela712[[#This Row],[Id da Venda]],Tabela712[Total]))</f>
        <v>261.90000000000003</v>
      </c>
    </row>
    <row r="27" spans="3:14" x14ac:dyDescent="0.25">
      <c r="C27" s="38">
        <v>2</v>
      </c>
      <c r="D27" s="40">
        <v>42187</v>
      </c>
      <c r="E27" s="38" t="s">
        <v>44</v>
      </c>
      <c r="F27" s="38" t="str">
        <f>IFERROR(VLOOKUP(Tabela712[[#This Row],[Produtos]],Calculos!$F$4:$I$33,4,FALSE),"")</f>
        <v>Kg</v>
      </c>
      <c r="G27" s="38">
        <v>1</v>
      </c>
      <c r="H27" s="34">
        <f>IFERROR(VLOOKUP(Tabela712[[#This Row],[Produtos]],Calculos!$F$4:$I$33,3,FALSE),0)</f>
        <v>9.58</v>
      </c>
      <c r="I27" s="34">
        <f>Tabela712[[#This Row],[Preço Unitário]]*Tabela712[[#This Row],[Quantidade]]</f>
        <v>9.58</v>
      </c>
      <c r="J27" s="39"/>
      <c r="K27" s="38" t="s">
        <v>119</v>
      </c>
      <c r="L27" s="34">
        <f>VLOOKUP(Tabela712[[#This Row],[Entrega]],Calculos!$A$5:$B$9,2,FALSE)</f>
        <v>5</v>
      </c>
      <c r="M27" s="3">
        <f>Tabela712[[#This Row],[SubTotal]]*(1-Tabela712[[#This Row],[Desconto]]+Tabela712[[#This Row],[Valor da Entrega]])</f>
        <v>57.480000000000004</v>
      </c>
      <c r="N27" s="4">
        <f>IF(Tabela712[[#This Row],[Id da Venda]]=C28,"",SUMIF(Tabela712[Id da Venda],Tabela712[[#This Row],[Id da Venda]],Tabela712[Total]))</f>
        <v>57.480000000000004</v>
      </c>
    </row>
    <row r="28" spans="3:14" x14ac:dyDescent="0.25">
      <c r="C28" s="38">
        <v>1</v>
      </c>
      <c r="D28" s="40">
        <v>42187</v>
      </c>
      <c r="E28" s="38" t="s">
        <v>41</v>
      </c>
      <c r="F28" s="38" t="str">
        <f>IFERROR(VLOOKUP(Tabela712[[#This Row],[Produtos]],Calculos!$F$4:$I$33,4,FALSE),"")</f>
        <v>Garrafa</v>
      </c>
      <c r="G28" s="38">
        <v>2</v>
      </c>
      <c r="H28" s="34">
        <f>IFERROR(VLOOKUP(Tabela712[[#This Row],[Produtos]],Calculos!$F$4:$I$33,3,FALSE),0)</f>
        <v>29.9</v>
      </c>
      <c r="I28" s="34">
        <f>Tabela712[[#This Row],[Preço Unitário]]*Tabela712[[#This Row],[Quantidade]]</f>
        <v>59.8</v>
      </c>
      <c r="J28" s="39"/>
      <c r="K28" s="38" t="s">
        <v>120</v>
      </c>
      <c r="L28" s="34">
        <f>VLOOKUP(Tabela712[[#This Row],[Entrega]],Calculos!$A$5:$B$9,2,FALSE)</f>
        <v>0</v>
      </c>
      <c r="M28" s="3">
        <f>Tabela712[[#This Row],[SubTotal]]*(1-Tabela712[[#This Row],[Desconto]]+Tabela712[[#This Row],[Valor da Entrega]])</f>
        <v>59.8</v>
      </c>
      <c r="N28" s="4" t="str">
        <f>IF(Tabela712[[#This Row],[Id da Venda]]=C29,"",SUMIF(Tabela712[Id da Venda],Tabela712[[#This Row],[Id da Venda]],Tabela712[Total]))</f>
        <v/>
      </c>
    </row>
    <row r="29" spans="3:14" x14ac:dyDescent="0.25">
      <c r="C29" s="38">
        <v>1</v>
      </c>
      <c r="D29" s="40">
        <v>42187</v>
      </c>
      <c r="E29" s="38" t="s">
        <v>47</v>
      </c>
      <c r="F29" s="38" t="str">
        <f>IFERROR(VLOOKUP(Tabela712[[#This Row],[Produtos]],Calculos!$F$4:$I$33,4,FALSE),"")</f>
        <v>Garrafa</v>
      </c>
      <c r="G29" s="38">
        <v>3</v>
      </c>
      <c r="H29" s="34">
        <f>IFERROR(VLOOKUP(Tabela712[[#This Row],[Produtos]],Calculos!$F$4:$I$33,3,FALSE),0)</f>
        <v>54.9</v>
      </c>
      <c r="I29" s="34">
        <f>Tabela712[[#This Row],[Preço Unitário]]*Tabela712[[#This Row],[Quantidade]]</f>
        <v>164.7</v>
      </c>
      <c r="J29" s="39">
        <v>7.0000000000000007E-2</v>
      </c>
      <c r="K29" s="38" t="s">
        <v>121</v>
      </c>
      <c r="L29" s="34">
        <f>VLOOKUP(Tabela712[[#This Row],[Entrega]],Calculos!$A$5:$B$9,2,FALSE)</f>
        <v>6.5</v>
      </c>
      <c r="M29" s="3">
        <f>Tabela712[[#This Row],[SubTotal]]*(1-Tabela712[[#This Row],[Desconto]]+Tabela712[[#This Row],[Valor da Entrega]])</f>
        <v>1223.7209999999998</v>
      </c>
      <c r="N29" s="4" t="str">
        <f>IF(Tabela712[[#This Row],[Id da Venda]]=C30,"",SUMIF(Tabela712[Id da Venda],Tabela712[[#This Row],[Id da Venda]],Tabela712[Total]))</f>
        <v/>
      </c>
    </row>
    <row r="30" spans="3:14" x14ac:dyDescent="0.25">
      <c r="C30" s="38">
        <v>1</v>
      </c>
      <c r="D30" s="40">
        <v>42187</v>
      </c>
      <c r="E30" s="38" t="s">
        <v>36</v>
      </c>
      <c r="F30" s="38" t="str">
        <f>IFERROR(VLOOKUP(Tabela712[[#This Row],[Produtos]],Calculos!$F$4:$I$33,4,FALSE),"")</f>
        <v>Unidade</v>
      </c>
      <c r="G30" s="38">
        <v>1</v>
      </c>
      <c r="H30" s="34">
        <f>IFERROR(VLOOKUP(Tabela712[[#This Row],[Produtos]],Calculos!$F$4:$I$33,3,FALSE),0)</f>
        <v>2.99</v>
      </c>
      <c r="I30" s="34">
        <f>Tabela712[[#This Row],[Preço Unitário]]*Tabela712[[#This Row],[Quantidade]]</f>
        <v>2.99</v>
      </c>
      <c r="J30" s="39"/>
      <c r="K30" s="38" t="s">
        <v>122</v>
      </c>
      <c r="L30" s="34">
        <f>VLOOKUP(Tabela712[[#This Row],[Entrega]],Calculos!$A$5:$B$9,2,FALSE)</f>
        <v>8</v>
      </c>
      <c r="M30" s="3">
        <f>Tabela712[[#This Row],[SubTotal]]*(1-Tabela712[[#This Row],[Desconto]]+Tabela712[[#This Row],[Valor da Entrega]])</f>
        <v>26.910000000000004</v>
      </c>
      <c r="N30" s="4">
        <f>IF(Tabela712[[#This Row],[Id da Venda]]=C31,"",SUMIF(Tabela712[Id da Venda],Tabela712[[#This Row],[Id da Venda]],Tabela712[Total]))</f>
        <v>1310.4309999999998</v>
      </c>
    </row>
    <row r="34" spans="3:14" ht="26.25" x14ac:dyDescent="0.4">
      <c r="C34" s="60" t="s">
        <v>124</v>
      </c>
      <c r="D34" s="60"/>
      <c r="E34" s="60"/>
      <c r="F34" s="60"/>
      <c r="G34" s="60"/>
      <c r="M34" s="61">
        <f>SUM(Tabela712[Total Cliente])</f>
        <v>6576.3384999999989</v>
      </c>
      <c r="N34" s="61"/>
    </row>
    <row r="36" spans="3:14" x14ac:dyDescent="0.25">
      <c r="C36" s="60" t="s">
        <v>125</v>
      </c>
      <c r="D36" s="62"/>
      <c r="E36" s="62"/>
      <c r="F36" s="62"/>
      <c r="G36" s="62"/>
      <c r="M36" s="61">
        <f>SUM(Tabela712[Valor da Entrega])</f>
        <v>130</v>
      </c>
      <c r="N36" s="61"/>
    </row>
    <row r="37" spans="3:14" x14ac:dyDescent="0.25">
      <c r="C37" s="62"/>
      <c r="D37" s="62"/>
      <c r="E37" s="62"/>
      <c r="F37" s="62"/>
      <c r="G37" s="62"/>
      <c r="M37" s="61"/>
      <c r="N37" s="61"/>
    </row>
    <row r="39" spans="3:14" x14ac:dyDescent="0.25">
      <c r="C39" s="60" t="s">
        <v>139</v>
      </c>
      <c r="D39" s="62"/>
      <c r="E39" s="62"/>
      <c r="F39" s="62"/>
      <c r="G39" s="62"/>
      <c r="M39" s="59">
        <f>SUM(IF(FREQUENCY(Tabela712[Id da Venda],Tabela712[Id da Venda])&gt;0,1,0))</f>
        <v>13</v>
      </c>
      <c r="N39" s="59"/>
    </row>
    <row r="40" spans="3:14" x14ac:dyDescent="0.25">
      <c r="C40" s="62"/>
      <c r="D40" s="62"/>
      <c r="E40" s="62"/>
      <c r="F40" s="62"/>
      <c r="G40" s="62"/>
      <c r="M40" s="59"/>
      <c r="N40" s="59"/>
    </row>
  </sheetData>
  <mergeCells count="6">
    <mergeCell ref="C34:G34"/>
    <mergeCell ref="M34:N34"/>
    <mergeCell ref="C36:G37"/>
    <mergeCell ref="M36:N37"/>
    <mergeCell ref="C39:G40"/>
    <mergeCell ref="M39:N40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7A43FE5-CC26-492F-AB8B-2858EF017807}">
          <x14:formula1>
            <xm:f>Calculos!$A$5:$A$9</xm:f>
          </x14:formula1>
          <xm:sqref>K6:K30</xm:sqref>
        </x14:dataValidation>
        <x14:dataValidation type="list" allowBlank="1" showInputMessage="1" showErrorMessage="1" xr:uid="{6D42E15E-FC21-4096-BF92-DD27E88C97D5}">
          <x14:formula1>
            <xm:f>Calculos!$F$4:$F$30</xm:f>
          </x14:formula1>
          <xm:sqref>E6:E30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26EAC-4EA6-44D8-9E21-BAFA619D0863}">
  <dimension ref="A3:H32"/>
  <sheetViews>
    <sheetView workbookViewId="0">
      <selection activeCell="F14" sqref="F14"/>
    </sheetView>
  </sheetViews>
  <sheetFormatPr defaultRowHeight="15" x14ac:dyDescent="0.25"/>
  <cols>
    <col min="1" max="1" width="19.42578125" style="73" bestFit="1" customWidth="1"/>
    <col min="2" max="2" width="19.7109375" style="73" bestFit="1" customWidth="1"/>
    <col min="3" max="3" width="13.5703125" style="73" bestFit="1" customWidth="1"/>
    <col min="4" max="4" width="21.5703125" style="73" bestFit="1" customWidth="1"/>
    <col min="5" max="5" width="18" style="73" bestFit="1" customWidth="1"/>
    <col min="6" max="6" width="19.7109375" style="73" bestFit="1" customWidth="1"/>
    <col min="7" max="7" width="23.85546875" style="73" bestFit="1" customWidth="1"/>
    <col min="8" max="8" width="13.5703125" style="73" bestFit="1" customWidth="1"/>
    <col min="9" max="16384" width="9.140625" style="73"/>
  </cols>
  <sheetData>
    <row r="3" spans="1:8" x14ac:dyDescent="0.25">
      <c r="A3" s="73" t="s">
        <v>158</v>
      </c>
      <c r="B3" s="73" t="s">
        <v>160</v>
      </c>
      <c r="C3" s="73" t="s">
        <v>161</v>
      </c>
    </row>
    <row r="4" spans="1:8" x14ac:dyDescent="0.25">
      <c r="A4" s="76">
        <v>42187</v>
      </c>
      <c r="B4" s="74">
        <v>23</v>
      </c>
      <c r="C4" s="88">
        <v>1898.1329999999998</v>
      </c>
      <c r="E4" s="75" t="s">
        <v>158</v>
      </c>
      <c r="F4" s="73" t="s">
        <v>160</v>
      </c>
      <c r="G4" s="73" t="s">
        <v>162</v>
      </c>
      <c r="H4" s="73" t="s">
        <v>161</v>
      </c>
    </row>
    <row r="5" spans="1:8" x14ac:dyDescent="0.25">
      <c r="A5" s="78" t="s">
        <v>36</v>
      </c>
      <c r="B5" s="74">
        <v>1</v>
      </c>
      <c r="C5" s="88">
        <v>26.910000000000004</v>
      </c>
      <c r="E5" s="77" t="s">
        <v>119</v>
      </c>
      <c r="F5" s="74">
        <v>33</v>
      </c>
      <c r="G5" s="88">
        <v>25</v>
      </c>
      <c r="H5" s="88">
        <v>2562.48</v>
      </c>
    </row>
    <row r="6" spans="1:8" x14ac:dyDescent="0.25">
      <c r="A6" s="78" t="s">
        <v>40</v>
      </c>
      <c r="B6" s="74">
        <v>3</v>
      </c>
      <c r="C6" s="88">
        <v>77.699999999999989</v>
      </c>
      <c r="E6" s="77" t="s">
        <v>120</v>
      </c>
      <c r="F6" s="74">
        <v>30</v>
      </c>
      <c r="G6" s="88">
        <v>0</v>
      </c>
      <c r="H6" s="88">
        <v>235.8725</v>
      </c>
    </row>
    <row r="7" spans="1:8" x14ac:dyDescent="0.25">
      <c r="A7" s="78" t="s">
        <v>75</v>
      </c>
      <c r="B7" s="74">
        <v>2</v>
      </c>
      <c r="C7" s="88">
        <v>35.372000000000007</v>
      </c>
      <c r="E7" s="77" t="s">
        <v>121</v>
      </c>
      <c r="F7" s="74">
        <v>54</v>
      </c>
      <c r="G7" s="88">
        <v>32.5</v>
      </c>
      <c r="H7" s="88">
        <v>2745.1040000000003</v>
      </c>
    </row>
    <row r="8" spans="1:8" x14ac:dyDescent="0.25">
      <c r="A8" s="78" t="s">
        <v>42</v>
      </c>
      <c r="B8" s="74">
        <v>5</v>
      </c>
      <c r="C8" s="88">
        <v>155.25</v>
      </c>
      <c r="E8" s="77" t="s">
        <v>122</v>
      </c>
      <c r="F8" s="74">
        <v>19.5</v>
      </c>
      <c r="G8" s="88">
        <v>40</v>
      </c>
      <c r="H8" s="88">
        <v>371.20500000000004</v>
      </c>
    </row>
    <row r="9" spans="1:8" x14ac:dyDescent="0.25">
      <c r="A9" s="78" t="s">
        <v>35</v>
      </c>
      <c r="B9" s="74">
        <v>6</v>
      </c>
      <c r="C9" s="88">
        <v>261.90000000000003</v>
      </c>
      <c r="E9" s="77" t="s">
        <v>123</v>
      </c>
      <c r="F9" s="74">
        <v>25</v>
      </c>
      <c r="G9" s="88">
        <v>32.5</v>
      </c>
      <c r="H9" s="88">
        <v>661.67700000000013</v>
      </c>
    </row>
    <row r="10" spans="1:8" x14ac:dyDescent="0.25">
      <c r="A10" s="78" t="s">
        <v>44</v>
      </c>
      <c r="B10" s="74">
        <v>1</v>
      </c>
      <c r="C10" s="88">
        <v>57.480000000000004</v>
      </c>
      <c r="E10" s="77" t="s">
        <v>159</v>
      </c>
      <c r="F10" s="74">
        <v>161.5</v>
      </c>
      <c r="G10" s="88">
        <v>130</v>
      </c>
      <c r="H10" s="88">
        <v>6576.3384999999998</v>
      </c>
    </row>
    <row r="11" spans="1:8" x14ac:dyDescent="0.25">
      <c r="A11" s="78" t="s">
        <v>41</v>
      </c>
      <c r="B11" s="74">
        <v>2</v>
      </c>
      <c r="C11" s="88">
        <v>59.8</v>
      </c>
    </row>
    <row r="12" spans="1:8" x14ac:dyDescent="0.25">
      <c r="A12" s="78" t="s">
        <v>47</v>
      </c>
      <c r="B12" s="74">
        <v>3</v>
      </c>
      <c r="C12" s="88">
        <v>1223.7209999999998</v>
      </c>
    </row>
    <row r="13" spans="1:8" x14ac:dyDescent="0.25">
      <c r="A13" s="76">
        <v>42188</v>
      </c>
      <c r="B13" s="74">
        <v>72.5</v>
      </c>
      <c r="C13" s="88">
        <v>3315.1759999999999</v>
      </c>
    </row>
    <row r="14" spans="1:8" x14ac:dyDescent="0.25">
      <c r="A14" s="78" t="s">
        <v>46</v>
      </c>
      <c r="B14" s="74">
        <v>5</v>
      </c>
      <c r="C14" s="88">
        <v>80.810999999999993</v>
      </c>
    </row>
    <row r="15" spans="1:8" x14ac:dyDescent="0.25">
      <c r="A15" s="78" t="s">
        <v>70</v>
      </c>
      <c r="B15" s="74">
        <v>2</v>
      </c>
      <c r="C15" s="88">
        <v>74.850000000000009</v>
      </c>
    </row>
    <row r="16" spans="1:8" x14ac:dyDescent="0.25">
      <c r="A16" s="78" t="s">
        <v>72</v>
      </c>
      <c r="B16" s="74">
        <v>1.5</v>
      </c>
      <c r="C16" s="88">
        <v>91.125</v>
      </c>
    </row>
    <row r="17" spans="1:3" x14ac:dyDescent="0.25">
      <c r="A17" s="78" t="s">
        <v>48</v>
      </c>
      <c r="B17" s="74">
        <v>4</v>
      </c>
      <c r="C17" s="88">
        <v>62.400000000000006</v>
      </c>
    </row>
    <row r="18" spans="1:3" x14ac:dyDescent="0.25">
      <c r="A18" s="78" t="s">
        <v>34</v>
      </c>
      <c r="B18" s="74">
        <v>20</v>
      </c>
      <c r="C18" s="88">
        <v>81.320000000000007</v>
      </c>
    </row>
    <row r="19" spans="1:3" x14ac:dyDescent="0.25">
      <c r="A19" s="78" t="s">
        <v>38</v>
      </c>
      <c r="B19" s="74">
        <v>20</v>
      </c>
      <c r="C19" s="88">
        <v>1047.0000000000002</v>
      </c>
    </row>
    <row r="20" spans="1:3" x14ac:dyDescent="0.25">
      <c r="A20" s="78" t="s">
        <v>67</v>
      </c>
      <c r="B20" s="74">
        <v>2</v>
      </c>
      <c r="C20" s="88">
        <v>26.82</v>
      </c>
    </row>
    <row r="21" spans="1:3" x14ac:dyDescent="0.25">
      <c r="A21" s="78" t="s">
        <v>74</v>
      </c>
      <c r="B21" s="74">
        <v>6</v>
      </c>
      <c r="C21" s="88">
        <v>130.05000000000001</v>
      </c>
    </row>
    <row r="22" spans="1:3" x14ac:dyDescent="0.25">
      <c r="A22" s="78" t="s">
        <v>39</v>
      </c>
      <c r="B22" s="74">
        <v>12</v>
      </c>
      <c r="C22" s="88">
        <v>1720.7999999999997</v>
      </c>
    </row>
    <row r="23" spans="1:3" x14ac:dyDescent="0.25">
      <c r="A23" s="76">
        <v>42189</v>
      </c>
      <c r="B23" s="74">
        <v>21</v>
      </c>
      <c r="C23" s="88">
        <v>660.55250000000012</v>
      </c>
    </row>
    <row r="24" spans="1:3" x14ac:dyDescent="0.25">
      <c r="A24" s="78" t="s">
        <v>66</v>
      </c>
      <c r="B24" s="74">
        <v>1</v>
      </c>
      <c r="C24" s="88">
        <v>1.0924999999999998</v>
      </c>
    </row>
    <row r="25" spans="1:3" x14ac:dyDescent="0.25">
      <c r="A25" s="78" t="s">
        <v>49</v>
      </c>
      <c r="B25" s="74">
        <v>10</v>
      </c>
      <c r="C25" s="88">
        <v>71.100000000000009</v>
      </c>
    </row>
    <row r="26" spans="1:3" x14ac:dyDescent="0.25">
      <c r="A26" s="78" t="s">
        <v>37</v>
      </c>
      <c r="B26" s="74">
        <v>6</v>
      </c>
      <c r="C26" s="88">
        <v>572.40000000000009</v>
      </c>
    </row>
    <row r="27" spans="1:3" x14ac:dyDescent="0.25">
      <c r="A27" s="78" t="s">
        <v>43</v>
      </c>
      <c r="B27" s="74">
        <v>4</v>
      </c>
      <c r="C27" s="88">
        <v>15.96</v>
      </c>
    </row>
    <row r="28" spans="1:3" x14ac:dyDescent="0.25">
      <c r="A28" s="76">
        <v>42190</v>
      </c>
      <c r="B28" s="74">
        <v>45</v>
      </c>
      <c r="C28" s="88">
        <v>702.47700000000009</v>
      </c>
    </row>
    <row r="29" spans="1:3" x14ac:dyDescent="0.25">
      <c r="A29" s="78" t="s">
        <v>45</v>
      </c>
      <c r="B29" s="74">
        <v>1</v>
      </c>
      <c r="C29" s="88">
        <v>8.625</v>
      </c>
    </row>
    <row r="30" spans="1:3" x14ac:dyDescent="0.25">
      <c r="A30" s="78" t="s">
        <v>33</v>
      </c>
      <c r="B30" s="74">
        <v>20</v>
      </c>
      <c r="C30" s="88">
        <v>335.65200000000004</v>
      </c>
    </row>
    <row r="31" spans="1:3" x14ac:dyDescent="0.25">
      <c r="A31" s="78" t="s">
        <v>50</v>
      </c>
      <c r="B31" s="74">
        <v>24</v>
      </c>
      <c r="C31" s="88">
        <v>358.2</v>
      </c>
    </row>
    <row r="32" spans="1:3" x14ac:dyDescent="0.25">
      <c r="A32" s="76" t="s">
        <v>159</v>
      </c>
      <c r="B32" s="74">
        <v>161.5</v>
      </c>
      <c r="C32" s="88">
        <v>6576.3384999999998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D577C-0291-49D2-B497-107DDD2E5E77}">
  <sheetPr codeName="Planilha12"/>
  <dimension ref="B1:N40"/>
  <sheetViews>
    <sheetView showGridLines="0" topLeftCell="A4" workbookViewId="0"/>
  </sheetViews>
  <sheetFormatPr defaultRowHeight="15" x14ac:dyDescent="0.25"/>
  <cols>
    <col min="1" max="1" width="11.42578125" style="38" customWidth="1"/>
    <col min="2" max="2" width="14.28515625" style="38" customWidth="1"/>
    <col min="3" max="3" width="13.5703125" style="38" customWidth="1"/>
    <col min="4" max="4" width="15.85546875" style="38" customWidth="1"/>
    <col min="5" max="5" width="13.85546875" style="38" customWidth="1"/>
    <col min="6" max="6" width="10.5703125" style="38" customWidth="1"/>
    <col min="7" max="7" width="13.5703125" style="38" customWidth="1"/>
    <col min="8" max="8" width="15.7109375" style="38" customWidth="1"/>
    <col min="9" max="9" width="10.85546875" style="38" customWidth="1"/>
    <col min="10" max="10" width="11.42578125" style="38" customWidth="1"/>
    <col min="11" max="11" width="11.7109375" style="38" customWidth="1"/>
    <col min="12" max="12" width="17.5703125" style="38" customWidth="1"/>
    <col min="13" max="13" width="13.28515625" style="38" customWidth="1"/>
    <col min="14" max="14" width="14.42578125" style="38" customWidth="1"/>
    <col min="15" max="16384" width="9.140625" style="38"/>
  </cols>
  <sheetData>
    <row r="1" spans="2:14" s="1" customFormat="1" ht="40.5" customHeight="1" x14ac:dyDescent="0.35">
      <c r="B1" s="5" t="s">
        <v>129</v>
      </c>
    </row>
    <row r="2" spans="2:14" s="1" customFormat="1" ht="12.75" customHeight="1" x14ac:dyDescent="0.2"/>
    <row r="3" spans="2:14" ht="12.75" customHeight="1" x14ac:dyDescent="0.25"/>
    <row r="5" spans="2:14" x14ac:dyDescent="0.25">
      <c r="C5" s="38" t="s">
        <v>109</v>
      </c>
      <c r="D5" s="38" t="s">
        <v>110</v>
      </c>
      <c r="E5" s="38" t="s">
        <v>61</v>
      </c>
      <c r="F5" s="38" t="s">
        <v>55</v>
      </c>
      <c r="G5" s="38" t="s">
        <v>56</v>
      </c>
      <c r="H5" s="38" t="s">
        <v>111</v>
      </c>
      <c r="I5" s="38" t="s">
        <v>112</v>
      </c>
      <c r="J5" s="38" t="s">
        <v>58</v>
      </c>
      <c r="K5" s="38" t="s">
        <v>113</v>
      </c>
      <c r="L5" s="38" t="s">
        <v>114</v>
      </c>
      <c r="M5" s="38" t="s">
        <v>115</v>
      </c>
      <c r="N5" s="38" t="s">
        <v>116</v>
      </c>
    </row>
    <row r="6" spans="2:14" s="73" customFormat="1" x14ac:dyDescent="0.25">
      <c r="C6" s="38">
        <v>13</v>
      </c>
      <c r="D6" s="40">
        <v>42190</v>
      </c>
      <c r="E6" s="38" t="s">
        <v>33</v>
      </c>
      <c r="F6" s="38" t="str">
        <f>IFERROR(VLOOKUP(Tabela713[[#This Row],[Produtos]],Calculos!$F$4:$I$33,4,FALSE),"")</f>
        <v>Kg</v>
      </c>
      <c r="G6" s="38">
        <v>10</v>
      </c>
      <c r="H6" s="34">
        <f>IFERROR(VLOOKUP(Tabela713[[#This Row],[Produtos]],Calculos!$F$4:$I$33,3,FALSE),0)</f>
        <v>2.4900000000000002</v>
      </c>
      <c r="I6" s="34">
        <f>Tabela713[[#This Row],[Preço Unitário]]*Tabela713[[#This Row],[Quantidade]]</f>
        <v>24.900000000000002</v>
      </c>
      <c r="J6" s="39">
        <v>0.02</v>
      </c>
      <c r="K6" s="38" t="s">
        <v>123</v>
      </c>
      <c r="L6" s="34">
        <f>VLOOKUP(Tabela713[[#This Row],[Entrega]],Calculos!$A$5:$B$9,2,FALSE)</f>
        <v>6.5</v>
      </c>
      <c r="M6" s="3">
        <f>Tabela713[[#This Row],[SubTotal]]*(1-Tabela713[[#This Row],[Desconto]]+Tabela713[[#This Row],[Valor da Entrega]])</f>
        <v>186.25200000000004</v>
      </c>
      <c r="N6" s="3" t="str">
        <f>IF(Tabela713[[#This Row],[Id da Venda]]=C7,"",SUMIF(Tabela713[Id da Venda],Tabela713[[#This Row],[Id da Venda]],Tabela713[Total]))</f>
        <v/>
      </c>
    </row>
    <row r="7" spans="2:14" x14ac:dyDescent="0.25">
      <c r="C7" s="38">
        <v>13</v>
      </c>
      <c r="D7" s="40">
        <v>42190</v>
      </c>
      <c r="E7" s="38" t="s">
        <v>45</v>
      </c>
      <c r="F7" s="38" t="str">
        <f>IFERROR(VLOOKUP(Tabela713[[#This Row],[Produtos]],Calculos!$F$4:$I$33,4,FALSE),"")</f>
        <v>Pacote</v>
      </c>
      <c r="G7" s="38">
        <v>1</v>
      </c>
      <c r="H7" s="34">
        <f>IFERROR(VLOOKUP(Tabela713[[#This Row],[Produtos]],Calculos!$F$4:$I$33,3,FALSE),0)</f>
        <v>1.1499999999999999</v>
      </c>
      <c r="I7" s="34">
        <f>Tabela713[[#This Row],[Preço Unitário]]*Tabela713[[#This Row],[Quantidade]]</f>
        <v>1.1499999999999999</v>
      </c>
      <c r="J7" s="39"/>
      <c r="K7" s="38" t="s">
        <v>123</v>
      </c>
      <c r="L7" s="34">
        <f>VLOOKUP(Tabela713[[#This Row],[Entrega]],Calculos!$A$5:$B$9,2,FALSE)</f>
        <v>6.5</v>
      </c>
      <c r="M7" s="3">
        <f>Tabela713[[#This Row],[SubTotal]]*(1-Tabela713[[#This Row],[Desconto]]+Tabela713[[#This Row],[Valor da Entrega]])</f>
        <v>8.625</v>
      </c>
      <c r="N7" s="3" t="str">
        <f>IF(Tabela713[[#This Row],[Id da Venda]]=C8,"",SUMIF(Tabela713[Id da Venda],Tabela713[[#This Row],[Id da Venda]],Tabela713[Total]))</f>
        <v/>
      </c>
    </row>
    <row r="8" spans="2:14" x14ac:dyDescent="0.25">
      <c r="C8" s="38">
        <v>13</v>
      </c>
      <c r="D8" s="40">
        <v>42190</v>
      </c>
      <c r="E8" s="38" t="s">
        <v>33</v>
      </c>
      <c r="F8" s="38" t="str">
        <f>IFERROR(VLOOKUP(Tabela713[[#This Row],[Produtos]],Calculos!$F$4:$I$33,4,FALSE),"")</f>
        <v>Kg</v>
      </c>
      <c r="G8" s="38">
        <v>10</v>
      </c>
      <c r="H8" s="34">
        <f>IFERROR(VLOOKUP(Tabela713[[#This Row],[Produtos]],Calculos!$F$4:$I$33,3,FALSE),0)</f>
        <v>2.4900000000000002</v>
      </c>
      <c r="I8" s="34">
        <f>Tabela713[[#This Row],[Preço Unitário]]*Tabela713[[#This Row],[Quantidade]]</f>
        <v>24.900000000000002</v>
      </c>
      <c r="J8" s="39"/>
      <c r="K8" s="38" t="s">
        <v>119</v>
      </c>
      <c r="L8" s="34">
        <f>VLOOKUP(Tabela713[[#This Row],[Entrega]],Calculos!$A$5:$B$9,2,FALSE)</f>
        <v>5</v>
      </c>
      <c r="M8" s="3">
        <f>Tabela713[[#This Row],[SubTotal]]*(1-Tabela713[[#This Row],[Desconto]]+Tabela713[[#This Row],[Valor da Entrega]])</f>
        <v>149.4</v>
      </c>
      <c r="N8" s="3" t="str">
        <f>IF(Tabela713[[#This Row],[Id da Venda]]=C9,"",SUMIF(Tabela713[Id da Venda],Tabela713[[#This Row],[Id da Venda]],Tabela713[Total]))</f>
        <v/>
      </c>
    </row>
    <row r="9" spans="2:14" x14ac:dyDescent="0.25">
      <c r="C9" s="38">
        <v>13</v>
      </c>
      <c r="D9" s="40">
        <v>42190</v>
      </c>
      <c r="E9" s="38" t="s">
        <v>50</v>
      </c>
      <c r="F9" s="38" t="str">
        <f>IFERROR(VLOOKUP(Tabela713[[#This Row],[Produtos]],Calculos!$F$4:$I$33,4,FALSE),"")</f>
        <v>Pacote</v>
      </c>
      <c r="G9" s="38">
        <v>24</v>
      </c>
      <c r="H9" s="34">
        <f>IFERROR(VLOOKUP(Tabela713[[#This Row],[Produtos]],Calculos!$F$4:$I$33,3,FALSE),0)</f>
        <v>1.99</v>
      </c>
      <c r="I9" s="34">
        <f>Tabela713[[#This Row],[Preço Unitário]]*Tabela713[[#This Row],[Quantidade]]</f>
        <v>47.76</v>
      </c>
      <c r="J9" s="39"/>
      <c r="K9" s="38" t="s">
        <v>121</v>
      </c>
      <c r="L9" s="34">
        <f>VLOOKUP(Tabela713[[#This Row],[Entrega]],Calculos!$A$5:$B$9,2,FALSE)</f>
        <v>6.5</v>
      </c>
      <c r="M9" s="3">
        <f>Tabela713[[#This Row],[SubTotal]]*(1-Tabela713[[#This Row],[Desconto]]+Tabela713[[#This Row],[Valor da Entrega]])</f>
        <v>358.2</v>
      </c>
      <c r="N9" s="4">
        <f>IF(Tabela713[[#This Row],[Id da Venda]]=C10,"",SUMIF(Tabela713[Id da Venda],Tabela713[[#This Row],[Id da Venda]],Tabela713[Total]))</f>
        <v>702.47700000000009</v>
      </c>
    </row>
    <row r="10" spans="2:14" x14ac:dyDescent="0.25">
      <c r="C10" s="38">
        <v>12</v>
      </c>
      <c r="D10" s="40">
        <v>42189</v>
      </c>
      <c r="E10" s="38" t="s">
        <v>66</v>
      </c>
      <c r="F10" s="38" t="str">
        <f>IFERROR(VLOOKUP(Tabela713[[#This Row],[Produtos]],Calculos!$F$4:$I$33,4,FALSE),"")</f>
        <v>Pacote</v>
      </c>
      <c r="G10" s="38">
        <v>1</v>
      </c>
      <c r="H10" s="34">
        <f>IFERROR(VLOOKUP(Tabela713[[#This Row],[Produtos]],Calculos!$F$4:$I$33,3,FALSE),0)</f>
        <v>1.1499999999999999</v>
      </c>
      <c r="I10" s="34">
        <f>Tabela713[[#This Row],[Preço Unitário]]*Tabela713[[#This Row],[Quantidade]]</f>
        <v>1.1499999999999999</v>
      </c>
      <c r="J10" s="39">
        <v>0.05</v>
      </c>
      <c r="K10" s="38" t="s">
        <v>120</v>
      </c>
      <c r="L10" s="34">
        <f>VLOOKUP(Tabela713[[#This Row],[Entrega]],Calculos!$A$5:$B$9,2,FALSE)</f>
        <v>0</v>
      </c>
      <c r="M10" s="3">
        <f>Tabela713[[#This Row],[SubTotal]]*(1-Tabela713[[#This Row],[Desconto]]+Tabela713[[#This Row],[Valor da Entrega]])</f>
        <v>1.0924999999999998</v>
      </c>
      <c r="N10" s="4">
        <f>IF(Tabela713[[#This Row],[Id da Venda]]=C11,"",SUMIF(Tabela713[Id da Venda],Tabela713[[#This Row],[Id da Venda]],Tabela713[Total]))</f>
        <v>1.0924999999999998</v>
      </c>
    </row>
    <row r="11" spans="2:14" x14ac:dyDescent="0.25">
      <c r="C11" s="38">
        <v>11</v>
      </c>
      <c r="D11" s="40">
        <v>42189</v>
      </c>
      <c r="E11" s="38" t="s">
        <v>49</v>
      </c>
      <c r="F11" s="38" t="str">
        <f>IFERROR(VLOOKUP(Tabela713[[#This Row],[Produtos]],Calculos!$F$4:$I$33,4,FALSE),"")</f>
        <v>Pacote</v>
      </c>
      <c r="G11" s="38">
        <v>10</v>
      </c>
      <c r="H11" s="34">
        <f>IFERROR(VLOOKUP(Tabela713[[#This Row],[Produtos]],Calculos!$F$4:$I$33,3,FALSE),0)</f>
        <v>0.79</v>
      </c>
      <c r="I11" s="34">
        <f>Tabela713[[#This Row],[Preço Unitário]]*Tabela713[[#This Row],[Quantidade]]</f>
        <v>7.9</v>
      </c>
      <c r="J11" s="39"/>
      <c r="K11" s="38" t="s">
        <v>122</v>
      </c>
      <c r="L11" s="34">
        <f>VLOOKUP(Tabela713[[#This Row],[Entrega]],Calculos!$A$5:$B$9,2,FALSE)</f>
        <v>8</v>
      </c>
      <c r="M11" s="3">
        <f>Tabela713[[#This Row],[SubTotal]]*(1-Tabela713[[#This Row],[Desconto]]+Tabela713[[#This Row],[Valor da Entrega]])</f>
        <v>71.100000000000009</v>
      </c>
      <c r="N11" s="4">
        <f>IF(Tabela713[[#This Row],[Id da Venda]]=C12,"",SUMIF(Tabela713[Id da Venda],Tabela713[[#This Row],[Id da Venda]],Tabela713[Total]))</f>
        <v>71.100000000000009</v>
      </c>
    </row>
    <row r="12" spans="2:14" x14ac:dyDescent="0.25">
      <c r="C12" s="38">
        <v>10</v>
      </c>
      <c r="D12" s="40">
        <v>42189</v>
      </c>
      <c r="E12" s="38" t="s">
        <v>37</v>
      </c>
      <c r="F12" s="38" t="str">
        <f>IFERROR(VLOOKUP(Tabela713[[#This Row],[Produtos]],Calculos!$F$4:$I$33,4,FALSE),"")</f>
        <v>Kg</v>
      </c>
      <c r="G12" s="38">
        <v>6</v>
      </c>
      <c r="H12" s="34">
        <f>IFERROR(VLOOKUP(Tabela713[[#This Row],[Produtos]],Calculos!$F$4:$I$33,3,FALSE),0)</f>
        <v>15.9</v>
      </c>
      <c r="I12" s="34">
        <f>Tabela713[[#This Row],[Preço Unitário]]*Tabela713[[#This Row],[Quantidade]]</f>
        <v>95.4</v>
      </c>
      <c r="J12" s="39"/>
      <c r="K12" s="38" t="s">
        <v>119</v>
      </c>
      <c r="L12" s="34">
        <f>VLOOKUP(Tabela713[[#This Row],[Entrega]],Calculos!$A$5:$B$9,2,FALSE)</f>
        <v>5</v>
      </c>
      <c r="M12" s="3">
        <f>Tabela713[[#This Row],[SubTotal]]*(1-Tabela713[[#This Row],[Desconto]]+Tabela713[[#This Row],[Valor da Entrega]])</f>
        <v>572.40000000000009</v>
      </c>
      <c r="N12" s="4" t="str">
        <f>IF(Tabela713[[#This Row],[Id da Venda]]=C13,"",SUMIF(Tabela713[Id da Venda],Tabela713[[#This Row],[Id da Venda]],Tabela713[Total]))</f>
        <v/>
      </c>
    </row>
    <row r="13" spans="2:14" x14ac:dyDescent="0.25">
      <c r="C13" s="38">
        <v>10</v>
      </c>
      <c r="D13" s="40">
        <v>42189</v>
      </c>
      <c r="E13" s="38" t="s">
        <v>43</v>
      </c>
      <c r="F13" s="38" t="str">
        <f>IFERROR(VLOOKUP(Tabela713[[#This Row],[Produtos]],Calculos!$F$4:$I$33,4,FALSE),"")</f>
        <v>Kg</v>
      </c>
      <c r="G13" s="38">
        <v>4</v>
      </c>
      <c r="H13" s="34">
        <f>IFERROR(VLOOKUP(Tabela713[[#This Row],[Produtos]],Calculos!$F$4:$I$33,3,FALSE),0)</f>
        <v>3.99</v>
      </c>
      <c r="I13" s="34">
        <f>Tabela713[[#This Row],[Preço Unitário]]*Tabela713[[#This Row],[Quantidade]]</f>
        <v>15.96</v>
      </c>
      <c r="J13" s="39"/>
      <c r="K13" s="38" t="s">
        <v>120</v>
      </c>
      <c r="L13" s="34">
        <f>VLOOKUP(Tabela713[[#This Row],[Entrega]],Calculos!$A$5:$B$9,2,FALSE)</f>
        <v>0</v>
      </c>
      <c r="M13" s="3">
        <f>Tabela713[[#This Row],[SubTotal]]*(1-Tabela713[[#This Row],[Desconto]]+Tabela713[[#This Row],[Valor da Entrega]])</f>
        <v>15.96</v>
      </c>
      <c r="N13" s="4">
        <f>IF(Tabela713[[#This Row],[Id da Venda]]=C14,"",SUMIF(Tabela713[Id da Venda],Tabela713[[#This Row],[Id da Venda]],Tabela713[Total]))</f>
        <v>588.36000000000013</v>
      </c>
    </row>
    <row r="14" spans="2:14" x14ac:dyDescent="0.25">
      <c r="C14" s="38">
        <v>9</v>
      </c>
      <c r="D14" s="40">
        <v>42188</v>
      </c>
      <c r="E14" s="38" t="s">
        <v>46</v>
      </c>
      <c r="F14" s="38" t="str">
        <f>IFERROR(VLOOKUP(Tabela713[[#This Row],[Produtos]],Calculos!$F$4:$I$33,4,FALSE),"")</f>
        <v>Lata</v>
      </c>
      <c r="G14" s="38">
        <v>5</v>
      </c>
      <c r="H14" s="34">
        <f>IFERROR(VLOOKUP(Tabela713[[#This Row],[Produtos]],Calculos!$F$4:$I$33,3,FALSE),0)</f>
        <v>2.19</v>
      </c>
      <c r="I14" s="34">
        <f>Tabela713[[#This Row],[Preço Unitário]]*Tabela713[[#This Row],[Quantidade]]</f>
        <v>10.95</v>
      </c>
      <c r="J14" s="39">
        <v>0.12</v>
      </c>
      <c r="K14" s="38" t="s">
        <v>121</v>
      </c>
      <c r="L14" s="34">
        <f>VLOOKUP(Tabela713[[#This Row],[Entrega]],Calculos!$A$5:$B$9,2,FALSE)</f>
        <v>6.5</v>
      </c>
      <c r="M14" s="3">
        <f>Tabela713[[#This Row],[SubTotal]]*(1-Tabela713[[#This Row],[Desconto]]+Tabela713[[#This Row],[Valor da Entrega]])</f>
        <v>80.810999999999993</v>
      </c>
      <c r="N14" s="4" t="str">
        <f>IF(Tabela713[[#This Row],[Id da Venda]]=C15,"",SUMIF(Tabela713[Id da Venda],Tabela713[[#This Row],[Id da Venda]],Tabela713[Total]))</f>
        <v/>
      </c>
    </row>
    <row r="15" spans="2:14" x14ac:dyDescent="0.25">
      <c r="C15" s="38">
        <v>9</v>
      </c>
      <c r="D15" s="40">
        <v>42188</v>
      </c>
      <c r="E15" s="38" t="s">
        <v>70</v>
      </c>
      <c r="F15" s="38" t="str">
        <f>IFERROR(VLOOKUP(Tabela713[[#This Row],[Produtos]],Calculos!$F$4:$I$33,4,FALSE),"")</f>
        <v>Barra</v>
      </c>
      <c r="G15" s="38">
        <v>2</v>
      </c>
      <c r="H15" s="34">
        <f>IFERROR(VLOOKUP(Tabela713[[#This Row],[Produtos]],Calculos!$F$4:$I$33,3,FALSE),0)</f>
        <v>4.99</v>
      </c>
      <c r="I15" s="34">
        <f>Tabela713[[#This Row],[Preço Unitário]]*Tabela713[[#This Row],[Quantidade]]</f>
        <v>9.98</v>
      </c>
      <c r="J15" s="39"/>
      <c r="K15" s="38" t="s">
        <v>123</v>
      </c>
      <c r="L15" s="34">
        <f>VLOOKUP(Tabela713[[#This Row],[Entrega]],Calculos!$A$5:$B$9,2,FALSE)</f>
        <v>6.5</v>
      </c>
      <c r="M15" s="3">
        <f>Tabela713[[#This Row],[SubTotal]]*(1-Tabela713[[#This Row],[Desconto]]+Tabela713[[#This Row],[Valor da Entrega]])</f>
        <v>74.850000000000009</v>
      </c>
      <c r="N15" s="4" t="str">
        <f>IF(Tabela713[[#This Row],[Id da Venda]]=C16,"",SUMIF(Tabela713[Id da Venda],Tabela713[[#This Row],[Id da Venda]],Tabela713[Total]))</f>
        <v/>
      </c>
    </row>
    <row r="16" spans="2:14" x14ac:dyDescent="0.25">
      <c r="C16" s="38">
        <v>9</v>
      </c>
      <c r="D16" s="40">
        <v>42188</v>
      </c>
      <c r="E16" s="38" t="s">
        <v>72</v>
      </c>
      <c r="F16" s="38" t="str">
        <f>IFERROR(VLOOKUP(Tabela713[[#This Row],[Produtos]],Calculos!$F$4:$I$33,4,FALSE),"")</f>
        <v>Maço</v>
      </c>
      <c r="G16" s="38">
        <v>1.5</v>
      </c>
      <c r="H16" s="34">
        <f>IFERROR(VLOOKUP(Tabela713[[#This Row],[Produtos]],Calculos!$F$4:$I$33,3,FALSE),0)</f>
        <v>6.75</v>
      </c>
      <c r="I16" s="34">
        <f>Tabela713[[#This Row],[Preço Unitário]]*Tabela713[[#This Row],[Quantidade]]</f>
        <v>10.125</v>
      </c>
      <c r="J16" s="39"/>
      <c r="K16" s="38" t="s">
        <v>122</v>
      </c>
      <c r="L16" s="34">
        <f>VLOOKUP(Tabela713[[#This Row],[Entrega]],Calculos!$A$5:$B$9,2,FALSE)</f>
        <v>8</v>
      </c>
      <c r="M16" s="3">
        <f>Tabela713[[#This Row],[SubTotal]]*(1-Tabela713[[#This Row],[Desconto]]+Tabela713[[#This Row],[Valor da Entrega]])</f>
        <v>91.125</v>
      </c>
      <c r="N16" s="4" t="str">
        <f>IF(Tabela713[[#This Row],[Id da Venda]]=C17,"",SUMIF(Tabela713[Id da Venda],Tabela713[[#This Row],[Id da Venda]],Tabela713[Total]))</f>
        <v/>
      </c>
    </row>
    <row r="17" spans="3:14" x14ac:dyDescent="0.25">
      <c r="C17" s="38">
        <v>9</v>
      </c>
      <c r="D17" s="40">
        <v>42188</v>
      </c>
      <c r="E17" s="38" t="s">
        <v>48</v>
      </c>
      <c r="F17" s="38" t="str">
        <f>IFERROR(VLOOKUP(Tabela713[[#This Row],[Produtos]],Calculos!$F$4:$I$33,4,FALSE),"")</f>
        <v>Unidade</v>
      </c>
      <c r="G17" s="38">
        <v>4</v>
      </c>
      <c r="H17" s="34">
        <f>IFERROR(VLOOKUP(Tabela713[[#This Row],[Produtos]],Calculos!$F$4:$I$33,3,FALSE),0)</f>
        <v>2.6</v>
      </c>
      <c r="I17" s="34">
        <f>Tabela713[[#This Row],[Preço Unitário]]*Tabela713[[#This Row],[Quantidade]]</f>
        <v>10.4</v>
      </c>
      <c r="J17" s="39"/>
      <c r="K17" s="38" t="s">
        <v>119</v>
      </c>
      <c r="L17" s="34">
        <f>VLOOKUP(Tabela713[[#This Row],[Entrega]],Calculos!$A$5:$B$9,2,FALSE)</f>
        <v>5</v>
      </c>
      <c r="M17" s="3">
        <f>Tabela713[[#This Row],[SubTotal]]*(1-Tabela713[[#This Row],[Desconto]]+Tabela713[[#This Row],[Valor da Entrega]])</f>
        <v>62.400000000000006</v>
      </c>
      <c r="N17" s="4">
        <f>IF(Tabela713[[#This Row],[Id da Venda]]=C18,"",SUMIF(Tabela713[Id da Venda],Tabela713[[#This Row],[Id da Venda]],Tabela713[Total]))</f>
        <v>309.18600000000004</v>
      </c>
    </row>
    <row r="18" spans="3:14" x14ac:dyDescent="0.25">
      <c r="C18" s="38">
        <v>8</v>
      </c>
      <c r="D18" s="40">
        <v>42188</v>
      </c>
      <c r="E18" s="38" t="s">
        <v>34</v>
      </c>
      <c r="F18" s="38" t="str">
        <f>IFERROR(VLOOKUP(Tabela713[[#This Row],[Produtos]],Calculos!$F$4:$I$33,4,FALSE),"")</f>
        <v>Kg</v>
      </c>
      <c r="G18" s="38">
        <v>20</v>
      </c>
      <c r="H18" s="34">
        <f>IFERROR(VLOOKUP(Tabela713[[#This Row],[Produtos]],Calculos!$F$4:$I$33,3,FALSE),0)</f>
        <v>4.28</v>
      </c>
      <c r="I18" s="34">
        <f>Tabela713[[#This Row],[Preço Unitário]]*Tabela713[[#This Row],[Quantidade]]</f>
        <v>85.600000000000009</v>
      </c>
      <c r="J18" s="39">
        <v>0.05</v>
      </c>
      <c r="K18" s="38" t="s">
        <v>120</v>
      </c>
      <c r="L18" s="34">
        <f>VLOOKUP(Tabela713[[#This Row],[Entrega]],Calculos!$A$5:$B$9,2,FALSE)</f>
        <v>0</v>
      </c>
      <c r="M18" s="3">
        <f>Tabela713[[#This Row],[SubTotal]]*(1-Tabela713[[#This Row],[Desconto]]+Tabela713[[#This Row],[Valor da Entrega]])</f>
        <v>81.320000000000007</v>
      </c>
      <c r="N18" s="4">
        <f>IF(Tabela713[[#This Row],[Id da Venda]]=C19,"",SUMIF(Tabela713[Id da Venda],Tabela713[[#This Row],[Id da Venda]],Tabela713[Total]))</f>
        <v>81.320000000000007</v>
      </c>
    </row>
    <row r="19" spans="3:14" x14ac:dyDescent="0.25">
      <c r="C19" s="38">
        <v>7</v>
      </c>
      <c r="D19" s="40">
        <v>42188</v>
      </c>
      <c r="E19" s="38" t="s">
        <v>38</v>
      </c>
      <c r="F19" s="38" t="str">
        <f>IFERROR(VLOOKUP(Tabela713[[#This Row],[Produtos]],Calculos!$F$4:$I$33,4,FALSE),"")</f>
        <v>Kg</v>
      </c>
      <c r="G19" s="38">
        <v>20</v>
      </c>
      <c r="H19" s="34">
        <f>IFERROR(VLOOKUP(Tabela713[[#This Row],[Produtos]],Calculos!$F$4:$I$33,3,FALSE),0)</f>
        <v>6.98</v>
      </c>
      <c r="I19" s="34">
        <f>Tabela713[[#This Row],[Preço Unitário]]*Tabela713[[#This Row],[Quantidade]]</f>
        <v>139.60000000000002</v>
      </c>
      <c r="J19" s="39"/>
      <c r="K19" s="38" t="s">
        <v>121</v>
      </c>
      <c r="L19" s="34">
        <f>VLOOKUP(Tabela713[[#This Row],[Entrega]],Calculos!$A$5:$B$9,2,FALSE)</f>
        <v>6.5</v>
      </c>
      <c r="M19" s="3">
        <f>Tabela713[[#This Row],[SubTotal]]*(1-Tabela713[[#This Row],[Desconto]]+Tabela713[[#This Row],[Valor da Entrega]])</f>
        <v>1047.0000000000002</v>
      </c>
      <c r="N19" s="4">
        <f>IF(Tabela713[[#This Row],[Id da Venda]]=C20,"",SUMIF(Tabela713[Id da Venda],Tabela713[[#This Row],[Id da Venda]],Tabela713[Total]))</f>
        <v>1047.0000000000002</v>
      </c>
    </row>
    <row r="20" spans="3:14" x14ac:dyDescent="0.25">
      <c r="C20" s="38">
        <v>6</v>
      </c>
      <c r="D20" s="40">
        <v>42188</v>
      </c>
      <c r="E20" s="38" t="s">
        <v>67</v>
      </c>
      <c r="F20" s="38" t="str">
        <f>IFERROR(VLOOKUP(Tabela713[[#This Row],[Produtos]],Calculos!$F$4:$I$33,4,FALSE),"")</f>
        <v>Litro</v>
      </c>
      <c r="G20" s="38">
        <v>2</v>
      </c>
      <c r="H20" s="34">
        <f>IFERROR(VLOOKUP(Tabela713[[#This Row],[Produtos]],Calculos!$F$4:$I$33,3,FALSE),0)</f>
        <v>1.49</v>
      </c>
      <c r="I20" s="34">
        <f>Tabela713[[#This Row],[Preço Unitário]]*Tabela713[[#This Row],[Quantidade]]</f>
        <v>2.98</v>
      </c>
      <c r="J20" s="39"/>
      <c r="K20" s="38" t="s">
        <v>122</v>
      </c>
      <c r="L20" s="34">
        <f>VLOOKUP(Tabela713[[#This Row],[Entrega]],Calculos!$A$5:$B$9,2,FALSE)</f>
        <v>8</v>
      </c>
      <c r="M20" s="3">
        <f>Tabela713[[#This Row],[SubTotal]]*(1-Tabela713[[#This Row],[Desconto]]+Tabela713[[#This Row],[Valor da Entrega]])</f>
        <v>26.82</v>
      </c>
      <c r="N20" s="4" t="str">
        <f>IF(Tabela713[[#This Row],[Id da Venda]]=C21,"",SUMIF(Tabela713[Id da Venda],Tabela713[[#This Row],[Id da Venda]],Tabela713[Total]))</f>
        <v/>
      </c>
    </row>
    <row r="21" spans="3:14" x14ac:dyDescent="0.25">
      <c r="C21" s="38">
        <v>6</v>
      </c>
      <c r="D21" s="40">
        <v>42188</v>
      </c>
      <c r="E21" s="38" t="s">
        <v>74</v>
      </c>
      <c r="F21" s="38" t="str">
        <f>IFERROR(VLOOKUP(Tabela713[[#This Row],[Produtos]],Calculos!$F$4:$I$33,4,FALSE),"")</f>
        <v>Unidade</v>
      </c>
      <c r="G21" s="38">
        <v>6</v>
      </c>
      <c r="H21" s="34">
        <f>IFERROR(VLOOKUP(Tabela713[[#This Row],[Produtos]],Calculos!$F$4:$I$33,3,FALSE),0)</f>
        <v>2.89</v>
      </c>
      <c r="I21" s="34">
        <f>Tabela713[[#This Row],[Preço Unitário]]*Tabela713[[#This Row],[Quantidade]]</f>
        <v>17.34</v>
      </c>
      <c r="J21" s="39"/>
      <c r="K21" s="38" t="s">
        <v>123</v>
      </c>
      <c r="L21" s="34">
        <f>VLOOKUP(Tabela713[[#This Row],[Entrega]],Calculos!$A$5:$B$9,2,FALSE)</f>
        <v>6.5</v>
      </c>
      <c r="M21" s="3">
        <f>Tabela713[[#This Row],[SubTotal]]*(1-Tabela713[[#This Row],[Desconto]]+Tabela713[[#This Row],[Valor da Entrega]])</f>
        <v>130.05000000000001</v>
      </c>
      <c r="N21" s="4" t="str">
        <f>IF(Tabela713[[#This Row],[Id da Venda]]=C22,"",SUMIF(Tabela713[Id da Venda],Tabela713[[#This Row],[Id da Venda]],Tabela713[Total]))</f>
        <v/>
      </c>
    </row>
    <row r="22" spans="3:14" x14ac:dyDescent="0.25">
      <c r="C22" s="38">
        <v>6</v>
      </c>
      <c r="D22" s="40">
        <v>42188</v>
      </c>
      <c r="E22" s="38" t="s">
        <v>39</v>
      </c>
      <c r="F22" s="38" t="str">
        <f>IFERROR(VLOOKUP(Tabela713[[#This Row],[Produtos]],Calculos!$F$4:$I$33,4,FALSE),"")</f>
        <v>Kg</v>
      </c>
      <c r="G22" s="38">
        <v>12</v>
      </c>
      <c r="H22" s="34">
        <f>IFERROR(VLOOKUP(Tabela713[[#This Row],[Produtos]],Calculos!$F$4:$I$33,3,FALSE),0)</f>
        <v>23.9</v>
      </c>
      <c r="I22" s="34">
        <f>Tabela713[[#This Row],[Preço Unitário]]*Tabela713[[#This Row],[Quantidade]]</f>
        <v>286.79999999999995</v>
      </c>
      <c r="J22" s="39"/>
      <c r="K22" s="38" t="s">
        <v>119</v>
      </c>
      <c r="L22" s="34">
        <f>VLOOKUP(Tabela713[[#This Row],[Entrega]],Calculos!$A$5:$B$9,2,FALSE)</f>
        <v>5</v>
      </c>
      <c r="M22" s="3">
        <f>Tabela713[[#This Row],[SubTotal]]*(1-Tabela713[[#This Row],[Desconto]]+Tabela713[[#This Row],[Valor da Entrega]])</f>
        <v>1720.7999999999997</v>
      </c>
      <c r="N22" s="4">
        <f>IF(Tabela713[[#This Row],[Id da Venda]]=C23,"",SUMIF(Tabela713[Id da Venda],Tabela713[[#This Row],[Id da Venda]],Tabela713[Total]))</f>
        <v>1877.6699999999996</v>
      </c>
    </row>
    <row r="23" spans="3:14" x14ac:dyDescent="0.25">
      <c r="C23" s="38">
        <v>5</v>
      </c>
      <c r="D23" s="40">
        <v>42187</v>
      </c>
      <c r="E23" s="38" t="s">
        <v>40</v>
      </c>
      <c r="F23" s="38" t="str">
        <f>IFERROR(VLOOKUP(Tabela713[[#This Row],[Produtos]],Calculos!$F$4:$I$33,4,FALSE),"")</f>
        <v>Kg</v>
      </c>
      <c r="G23" s="38">
        <v>3</v>
      </c>
      <c r="H23" s="34">
        <f>IFERROR(VLOOKUP(Tabela713[[#This Row],[Produtos]],Calculos!$F$4:$I$33,3,FALSE),0)</f>
        <v>25.9</v>
      </c>
      <c r="I23" s="34">
        <f>Tabela713[[#This Row],[Preço Unitário]]*Tabela713[[#This Row],[Quantidade]]</f>
        <v>77.699999999999989</v>
      </c>
      <c r="J23" s="39"/>
      <c r="K23" s="38" t="s">
        <v>120</v>
      </c>
      <c r="L23" s="34">
        <f>VLOOKUP(Tabela713[[#This Row],[Entrega]],Calculos!$A$5:$B$9,2,FALSE)</f>
        <v>0</v>
      </c>
      <c r="M23" s="3">
        <f>Tabela713[[#This Row],[SubTotal]]*(1-Tabela713[[#This Row],[Desconto]]+Tabela713[[#This Row],[Valor da Entrega]])</f>
        <v>77.699999999999989</v>
      </c>
      <c r="N23" s="4">
        <f>IF(Tabela713[[#This Row],[Id da Venda]]=C24,"",SUMIF(Tabela713[Id da Venda],Tabela713[[#This Row],[Id da Venda]],Tabela713[Total]))</f>
        <v>77.699999999999989</v>
      </c>
    </row>
    <row r="24" spans="3:14" x14ac:dyDescent="0.25">
      <c r="C24" s="38">
        <v>4</v>
      </c>
      <c r="D24" s="40">
        <v>42187</v>
      </c>
      <c r="E24" s="38" t="s">
        <v>75</v>
      </c>
      <c r="F24" s="38" t="str">
        <f>IFERROR(VLOOKUP(Tabela713[[#This Row],[Produtos]],Calculos!$F$4:$I$33,4,FALSE),"")</f>
        <v>Litro</v>
      </c>
      <c r="G24" s="38">
        <v>2</v>
      </c>
      <c r="H24" s="34">
        <f>IFERROR(VLOOKUP(Tabela713[[#This Row],[Produtos]],Calculos!$F$4:$I$33,3,FALSE),0)</f>
        <v>2.39</v>
      </c>
      <c r="I24" s="34">
        <f>Tabela713[[#This Row],[Preço Unitário]]*Tabela713[[#This Row],[Quantidade]]</f>
        <v>4.78</v>
      </c>
      <c r="J24" s="39">
        <v>0.1</v>
      </c>
      <c r="K24" s="38" t="s">
        <v>121</v>
      </c>
      <c r="L24" s="34">
        <f>VLOOKUP(Tabela713[[#This Row],[Entrega]],Calculos!$A$5:$B$9,2,FALSE)</f>
        <v>6.5</v>
      </c>
      <c r="M24" s="3">
        <f>Tabela713[[#This Row],[SubTotal]]*(1-Tabela713[[#This Row],[Desconto]]+Tabela713[[#This Row],[Valor da Entrega]])</f>
        <v>35.372000000000007</v>
      </c>
      <c r="N24" s="4" t="str">
        <f>IF(Tabela713[[#This Row],[Id da Venda]]=C25,"",SUMIF(Tabela713[Id da Venda],Tabela713[[#This Row],[Id da Venda]],Tabela713[Total]))</f>
        <v/>
      </c>
    </row>
    <row r="25" spans="3:14" x14ac:dyDescent="0.25">
      <c r="C25" s="38">
        <v>4</v>
      </c>
      <c r="D25" s="40">
        <v>42187</v>
      </c>
      <c r="E25" s="38" t="s">
        <v>42</v>
      </c>
      <c r="F25" s="38" t="str">
        <f>IFERROR(VLOOKUP(Tabela713[[#This Row],[Produtos]],Calculos!$F$4:$I$33,4,FALSE),"")</f>
        <v>Litro</v>
      </c>
      <c r="G25" s="38">
        <v>5</v>
      </c>
      <c r="H25" s="34">
        <f>IFERROR(VLOOKUP(Tabela713[[#This Row],[Produtos]],Calculos!$F$4:$I$33,3,FALSE),0)</f>
        <v>3.45</v>
      </c>
      <c r="I25" s="34">
        <f>Tabela713[[#This Row],[Preço Unitário]]*Tabela713[[#This Row],[Quantidade]]</f>
        <v>17.25</v>
      </c>
      <c r="J25" s="39"/>
      <c r="K25" s="38" t="s">
        <v>122</v>
      </c>
      <c r="L25" s="34">
        <f>VLOOKUP(Tabela713[[#This Row],[Entrega]],Calculos!$A$5:$B$9,2,FALSE)</f>
        <v>8</v>
      </c>
      <c r="M25" s="3">
        <f>Tabela713[[#This Row],[SubTotal]]*(1-Tabela713[[#This Row],[Desconto]]+Tabela713[[#This Row],[Valor da Entrega]])</f>
        <v>155.25</v>
      </c>
      <c r="N25" s="4">
        <f>IF(Tabela713[[#This Row],[Id da Venda]]=C26,"",SUMIF(Tabela713[Id da Venda],Tabela713[[#This Row],[Id da Venda]],Tabela713[Total]))</f>
        <v>190.62200000000001</v>
      </c>
    </row>
    <row r="26" spans="3:14" x14ac:dyDescent="0.25">
      <c r="C26" s="38">
        <v>3</v>
      </c>
      <c r="D26" s="40">
        <v>42187</v>
      </c>
      <c r="E26" s="38" t="s">
        <v>35</v>
      </c>
      <c r="F26" s="38" t="str">
        <f>IFERROR(VLOOKUP(Tabela713[[#This Row],[Produtos]],Calculos!$F$4:$I$33,4,FALSE),"")</f>
        <v>Kg</v>
      </c>
      <c r="G26" s="38">
        <v>6</v>
      </c>
      <c r="H26" s="34">
        <f>IFERROR(VLOOKUP(Tabela713[[#This Row],[Produtos]],Calculos!$F$4:$I$33,3,FALSE),0)</f>
        <v>5.82</v>
      </c>
      <c r="I26" s="34">
        <f>Tabela713[[#This Row],[Preço Unitário]]*Tabela713[[#This Row],[Quantidade]]</f>
        <v>34.92</v>
      </c>
      <c r="J26" s="39"/>
      <c r="K26" s="38" t="s">
        <v>123</v>
      </c>
      <c r="L26" s="34">
        <f>VLOOKUP(Tabela713[[#This Row],[Entrega]],Calculos!$A$5:$B$9,2,FALSE)</f>
        <v>6.5</v>
      </c>
      <c r="M26" s="3">
        <f>Tabela713[[#This Row],[SubTotal]]*(1-Tabela713[[#This Row],[Desconto]]+Tabela713[[#This Row],[Valor da Entrega]])</f>
        <v>261.90000000000003</v>
      </c>
      <c r="N26" s="4">
        <f>IF(Tabela713[[#This Row],[Id da Venda]]=C27,"",SUMIF(Tabela713[Id da Venda],Tabela713[[#This Row],[Id da Venda]],Tabela713[Total]))</f>
        <v>261.90000000000003</v>
      </c>
    </row>
    <row r="27" spans="3:14" x14ac:dyDescent="0.25">
      <c r="C27" s="38">
        <v>2</v>
      </c>
      <c r="D27" s="40">
        <v>42187</v>
      </c>
      <c r="E27" s="38" t="s">
        <v>44</v>
      </c>
      <c r="F27" s="38" t="str">
        <f>IFERROR(VLOOKUP(Tabela713[[#This Row],[Produtos]],Calculos!$F$4:$I$33,4,FALSE),"")</f>
        <v>Kg</v>
      </c>
      <c r="G27" s="38">
        <v>1</v>
      </c>
      <c r="H27" s="34">
        <f>IFERROR(VLOOKUP(Tabela713[[#This Row],[Produtos]],Calculos!$F$4:$I$33,3,FALSE),0)</f>
        <v>9.58</v>
      </c>
      <c r="I27" s="34">
        <f>Tabela713[[#This Row],[Preço Unitário]]*Tabela713[[#This Row],[Quantidade]]</f>
        <v>9.58</v>
      </c>
      <c r="J27" s="39"/>
      <c r="K27" s="38" t="s">
        <v>119</v>
      </c>
      <c r="L27" s="34">
        <f>VLOOKUP(Tabela713[[#This Row],[Entrega]],Calculos!$A$5:$B$9,2,FALSE)</f>
        <v>5</v>
      </c>
      <c r="M27" s="3">
        <f>Tabela713[[#This Row],[SubTotal]]*(1-Tabela713[[#This Row],[Desconto]]+Tabela713[[#This Row],[Valor da Entrega]])</f>
        <v>57.480000000000004</v>
      </c>
      <c r="N27" s="4">
        <f>IF(Tabela713[[#This Row],[Id da Venda]]=C28,"",SUMIF(Tabela713[Id da Venda],Tabela713[[#This Row],[Id da Venda]],Tabela713[Total]))</f>
        <v>57.480000000000004</v>
      </c>
    </row>
    <row r="28" spans="3:14" x14ac:dyDescent="0.25">
      <c r="C28" s="38">
        <v>1</v>
      </c>
      <c r="D28" s="40">
        <v>42187</v>
      </c>
      <c r="E28" s="38" t="s">
        <v>41</v>
      </c>
      <c r="F28" s="38" t="str">
        <f>IFERROR(VLOOKUP(Tabela713[[#This Row],[Produtos]],Calculos!$F$4:$I$33,4,FALSE),"")</f>
        <v>Garrafa</v>
      </c>
      <c r="G28" s="38">
        <v>2</v>
      </c>
      <c r="H28" s="34">
        <f>IFERROR(VLOOKUP(Tabela713[[#This Row],[Produtos]],Calculos!$F$4:$I$33,3,FALSE),0)</f>
        <v>29.9</v>
      </c>
      <c r="I28" s="34">
        <f>Tabela713[[#This Row],[Preço Unitário]]*Tabela713[[#This Row],[Quantidade]]</f>
        <v>59.8</v>
      </c>
      <c r="J28" s="39"/>
      <c r="K28" s="38" t="s">
        <v>120</v>
      </c>
      <c r="L28" s="34">
        <f>VLOOKUP(Tabela713[[#This Row],[Entrega]],Calculos!$A$5:$B$9,2,FALSE)</f>
        <v>0</v>
      </c>
      <c r="M28" s="3">
        <f>Tabela713[[#This Row],[SubTotal]]*(1-Tabela713[[#This Row],[Desconto]]+Tabela713[[#This Row],[Valor da Entrega]])</f>
        <v>59.8</v>
      </c>
      <c r="N28" s="4" t="str">
        <f>IF(Tabela713[[#This Row],[Id da Venda]]=C29,"",SUMIF(Tabela713[Id da Venda],Tabela713[[#This Row],[Id da Venda]],Tabela713[Total]))</f>
        <v/>
      </c>
    </row>
    <row r="29" spans="3:14" x14ac:dyDescent="0.25">
      <c r="C29" s="38">
        <v>1</v>
      </c>
      <c r="D29" s="40">
        <v>42187</v>
      </c>
      <c r="E29" s="38" t="s">
        <v>47</v>
      </c>
      <c r="F29" s="38" t="str">
        <f>IFERROR(VLOOKUP(Tabela713[[#This Row],[Produtos]],Calculos!$F$4:$I$33,4,FALSE),"")</f>
        <v>Garrafa</v>
      </c>
      <c r="G29" s="38">
        <v>3</v>
      </c>
      <c r="H29" s="34">
        <f>IFERROR(VLOOKUP(Tabela713[[#This Row],[Produtos]],Calculos!$F$4:$I$33,3,FALSE),0)</f>
        <v>54.9</v>
      </c>
      <c r="I29" s="34">
        <f>Tabela713[[#This Row],[Preço Unitário]]*Tabela713[[#This Row],[Quantidade]]</f>
        <v>164.7</v>
      </c>
      <c r="J29" s="39">
        <v>7.0000000000000007E-2</v>
      </c>
      <c r="K29" s="38" t="s">
        <v>121</v>
      </c>
      <c r="L29" s="34">
        <f>VLOOKUP(Tabela713[[#This Row],[Entrega]],Calculos!$A$5:$B$9,2,FALSE)</f>
        <v>6.5</v>
      </c>
      <c r="M29" s="3">
        <f>Tabela713[[#This Row],[SubTotal]]*(1-Tabela713[[#This Row],[Desconto]]+Tabela713[[#This Row],[Valor da Entrega]])</f>
        <v>1223.7209999999998</v>
      </c>
      <c r="N29" s="4" t="str">
        <f>IF(Tabela713[[#This Row],[Id da Venda]]=C30,"",SUMIF(Tabela713[Id da Venda],Tabela713[[#This Row],[Id da Venda]],Tabela713[Total]))</f>
        <v/>
      </c>
    </row>
    <row r="30" spans="3:14" x14ac:dyDescent="0.25">
      <c r="C30" s="38">
        <v>1</v>
      </c>
      <c r="D30" s="40">
        <v>42187</v>
      </c>
      <c r="E30" s="38" t="s">
        <v>36</v>
      </c>
      <c r="F30" s="38" t="str">
        <f>IFERROR(VLOOKUP(Tabela713[[#This Row],[Produtos]],Calculos!$F$4:$I$33,4,FALSE),"")</f>
        <v>Unidade</v>
      </c>
      <c r="G30" s="38">
        <v>1</v>
      </c>
      <c r="H30" s="34">
        <f>IFERROR(VLOOKUP(Tabela713[[#This Row],[Produtos]],Calculos!$F$4:$I$33,3,FALSE),0)</f>
        <v>2.99</v>
      </c>
      <c r="I30" s="34">
        <f>Tabela713[[#This Row],[Preço Unitário]]*Tabela713[[#This Row],[Quantidade]]</f>
        <v>2.99</v>
      </c>
      <c r="J30" s="39"/>
      <c r="K30" s="38" t="s">
        <v>122</v>
      </c>
      <c r="L30" s="34">
        <f>VLOOKUP(Tabela713[[#This Row],[Entrega]],Calculos!$A$5:$B$9,2,FALSE)</f>
        <v>8</v>
      </c>
      <c r="M30" s="3">
        <f>Tabela713[[#This Row],[SubTotal]]*(1-Tabela713[[#This Row],[Desconto]]+Tabela713[[#This Row],[Valor da Entrega]])</f>
        <v>26.910000000000004</v>
      </c>
      <c r="N30" s="4">
        <f>IF(Tabela713[[#This Row],[Id da Venda]]=C31,"",SUMIF(Tabela713[Id da Venda],Tabela713[[#This Row],[Id da Venda]],Tabela713[Total]))</f>
        <v>1310.4309999999998</v>
      </c>
    </row>
    <row r="34" spans="3:14" ht="26.25" x14ac:dyDescent="0.4">
      <c r="C34" s="60" t="s">
        <v>124</v>
      </c>
      <c r="D34" s="60"/>
      <c r="E34" s="60"/>
      <c r="F34" s="60"/>
      <c r="G34" s="60"/>
      <c r="M34" s="61">
        <f>SUM(Tabela713[Total Cliente])</f>
        <v>6576.3384999999989</v>
      </c>
      <c r="N34" s="61"/>
    </row>
    <row r="36" spans="3:14" ht="26.25" x14ac:dyDescent="0.4">
      <c r="C36" s="60" t="s">
        <v>125</v>
      </c>
      <c r="D36" s="62"/>
      <c r="E36" s="62"/>
      <c r="F36" s="62"/>
      <c r="G36" s="62"/>
      <c r="M36" s="61">
        <f>SUM(Tabela713[Valor da Entrega])</f>
        <v>130</v>
      </c>
      <c r="N36" s="61"/>
    </row>
    <row r="37" spans="3:14" x14ac:dyDescent="0.25">
      <c r="C37" s="62"/>
      <c r="D37" s="62"/>
      <c r="E37" s="62"/>
      <c r="F37" s="62"/>
      <c r="G37" s="62"/>
      <c r="M37" s="61"/>
      <c r="N37" s="61"/>
    </row>
    <row r="39" spans="3:14" ht="26.25" x14ac:dyDescent="0.4">
      <c r="C39" s="60" t="s">
        <v>139</v>
      </c>
      <c r="D39" s="62"/>
      <c r="E39" s="62"/>
      <c r="F39" s="62"/>
      <c r="G39" s="62"/>
      <c r="M39" s="59">
        <f>SUM(IF(FREQUENCY(Tabela713[Id da Venda],Tabela713[Id da Venda])&gt;0,1,0))</f>
        <v>13</v>
      </c>
      <c r="N39" s="59"/>
    </row>
    <row r="40" spans="3:14" x14ac:dyDescent="0.25">
      <c r="C40" s="62"/>
      <c r="D40" s="62"/>
      <c r="E40" s="62"/>
      <c r="F40" s="62"/>
      <c r="G40" s="62"/>
      <c r="M40" s="59"/>
      <c r="N40" s="59"/>
    </row>
  </sheetData>
  <mergeCells count="6">
    <mergeCell ref="C34:G34"/>
    <mergeCell ref="M34:N34"/>
    <mergeCell ref="C36:G37"/>
    <mergeCell ref="M36:N37"/>
    <mergeCell ref="C39:G40"/>
    <mergeCell ref="M39:N40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FE6218F-22FD-4BE8-B617-E6EEA2320242}">
          <x14:formula1>
            <xm:f>Calculos!$A$5:$A$9</xm:f>
          </x14:formula1>
          <xm:sqref>K6:K30</xm:sqref>
        </x14:dataValidation>
        <x14:dataValidation type="list" allowBlank="1" showInputMessage="1" showErrorMessage="1" xr:uid="{75AC61FB-77A1-4C85-9F95-821BAF57ECE3}">
          <x14:formula1>
            <xm:f>Calculos!$F$4:$F$30</xm:f>
          </x14:formula1>
          <xm:sqref>E6:E30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2F50C-439C-4079-BB50-E87871A760BC}">
  <dimension ref="A3:H32"/>
  <sheetViews>
    <sheetView topLeftCell="B1" workbookViewId="0">
      <selection activeCell="G15" sqref="G15"/>
    </sheetView>
  </sheetViews>
  <sheetFormatPr defaultRowHeight="15" x14ac:dyDescent="0.25"/>
  <cols>
    <col min="1" max="1" width="19.42578125" style="73" bestFit="1" customWidth="1"/>
    <col min="2" max="2" width="19.7109375" style="73" bestFit="1" customWidth="1"/>
    <col min="3" max="3" width="13.5703125" style="73" bestFit="1" customWidth="1"/>
    <col min="4" max="4" width="21.5703125" style="73" bestFit="1" customWidth="1"/>
    <col min="5" max="5" width="18" style="73" bestFit="1" customWidth="1"/>
    <col min="6" max="6" width="19.7109375" style="73" bestFit="1" customWidth="1"/>
    <col min="7" max="7" width="23.85546875" style="73" bestFit="1" customWidth="1"/>
    <col min="8" max="8" width="13.5703125" style="73" bestFit="1" customWidth="1"/>
    <col min="9" max="16384" width="9.140625" style="73"/>
  </cols>
  <sheetData>
    <row r="3" spans="1:8" x14ac:dyDescent="0.25">
      <c r="A3" s="73" t="s">
        <v>158</v>
      </c>
      <c r="B3" s="73" t="s">
        <v>160</v>
      </c>
      <c r="C3" s="73" t="s">
        <v>161</v>
      </c>
    </row>
    <row r="4" spans="1:8" x14ac:dyDescent="0.25">
      <c r="A4" s="76">
        <v>42187</v>
      </c>
      <c r="B4" s="74">
        <v>23</v>
      </c>
      <c r="C4" s="88">
        <v>1898.1329999999998</v>
      </c>
      <c r="E4" s="75" t="s">
        <v>158</v>
      </c>
      <c r="F4" s="73" t="s">
        <v>160</v>
      </c>
      <c r="G4" s="73" t="s">
        <v>162</v>
      </c>
      <c r="H4" s="73" t="s">
        <v>161</v>
      </c>
    </row>
    <row r="5" spans="1:8" x14ac:dyDescent="0.25">
      <c r="A5" s="78" t="s">
        <v>36</v>
      </c>
      <c r="B5" s="74">
        <v>1</v>
      </c>
      <c r="C5" s="88">
        <v>26.910000000000004</v>
      </c>
      <c r="E5" s="77" t="s">
        <v>119</v>
      </c>
      <c r="F5" s="74">
        <v>33</v>
      </c>
      <c r="G5" s="88">
        <v>25</v>
      </c>
      <c r="H5" s="88">
        <v>2562.48</v>
      </c>
    </row>
    <row r="6" spans="1:8" x14ac:dyDescent="0.25">
      <c r="A6" s="78" t="s">
        <v>40</v>
      </c>
      <c r="B6" s="74">
        <v>3</v>
      </c>
      <c r="C6" s="88">
        <v>77.699999999999989</v>
      </c>
      <c r="E6" s="77" t="s">
        <v>120</v>
      </c>
      <c r="F6" s="74">
        <v>30</v>
      </c>
      <c r="G6" s="88">
        <v>0</v>
      </c>
      <c r="H6" s="88">
        <v>235.8725</v>
      </c>
    </row>
    <row r="7" spans="1:8" x14ac:dyDescent="0.25">
      <c r="A7" s="78" t="s">
        <v>75</v>
      </c>
      <c r="B7" s="74">
        <v>2</v>
      </c>
      <c r="C7" s="88">
        <v>35.372000000000007</v>
      </c>
      <c r="E7" s="77" t="s">
        <v>121</v>
      </c>
      <c r="F7" s="74">
        <v>54</v>
      </c>
      <c r="G7" s="88">
        <v>32.5</v>
      </c>
      <c r="H7" s="88">
        <v>2745.1040000000003</v>
      </c>
    </row>
    <row r="8" spans="1:8" x14ac:dyDescent="0.25">
      <c r="A8" s="78" t="s">
        <v>42</v>
      </c>
      <c r="B8" s="74">
        <v>5</v>
      </c>
      <c r="C8" s="88">
        <v>155.25</v>
      </c>
      <c r="E8" s="77" t="s">
        <v>122</v>
      </c>
      <c r="F8" s="74">
        <v>19.5</v>
      </c>
      <c r="G8" s="88">
        <v>40</v>
      </c>
      <c r="H8" s="88">
        <v>371.20500000000004</v>
      </c>
    </row>
    <row r="9" spans="1:8" x14ac:dyDescent="0.25">
      <c r="A9" s="78" t="s">
        <v>35</v>
      </c>
      <c r="B9" s="74">
        <v>6</v>
      </c>
      <c r="C9" s="88">
        <v>261.90000000000003</v>
      </c>
      <c r="E9" s="77" t="s">
        <v>123</v>
      </c>
      <c r="F9" s="74">
        <v>25</v>
      </c>
      <c r="G9" s="88">
        <v>32.5</v>
      </c>
      <c r="H9" s="88">
        <v>661.67700000000013</v>
      </c>
    </row>
    <row r="10" spans="1:8" x14ac:dyDescent="0.25">
      <c r="A10" s="78" t="s">
        <v>44</v>
      </c>
      <c r="B10" s="74">
        <v>1</v>
      </c>
      <c r="C10" s="88">
        <v>57.480000000000004</v>
      </c>
      <c r="E10" s="77" t="s">
        <v>159</v>
      </c>
      <c r="F10" s="74">
        <v>161.5</v>
      </c>
      <c r="G10" s="88">
        <v>130</v>
      </c>
      <c r="H10" s="88">
        <v>6576.3384999999998</v>
      </c>
    </row>
    <row r="11" spans="1:8" x14ac:dyDescent="0.25">
      <c r="A11" s="78" t="s">
        <v>41</v>
      </c>
      <c r="B11" s="74">
        <v>2</v>
      </c>
      <c r="C11" s="88">
        <v>59.8</v>
      </c>
    </row>
    <row r="12" spans="1:8" x14ac:dyDescent="0.25">
      <c r="A12" s="78" t="s">
        <v>47</v>
      </c>
      <c r="B12" s="74">
        <v>3</v>
      </c>
      <c r="C12" s="88">
        <v>1223.7209999999998</v>
      </c>
    </row>
    <row r="13" spans="1:8" x14ac:dyDescent="0.25">
      <c r="A13" s="76">
        <v>42188</v>
      </c>
      <c r="B13" s="74">
        <v>72.5</v>
      </c>
      <c r="C13" s="88">
        <v>3315.1759999999999</v>
      </c>
    </row>
    <row r="14" spans="1:8" x14ac:dyDescent="0.25">
      <c r="A14" s="78" t="s">
        <v>46</v>
      </c>
      <c r="B14" s="74">
        <v>5</v>
      </c>
      <c r="C14" s="88">
        <v>80.810999999999993</v>
      </c>
    </row>
    <row r="15" spans="1:8" x14ac:dyDescent="0.25">
      <c r="A15" s="78" t="s">
        <v>70</v>
      </c>
      <c r="B15" s="74">
        <v>2</v>
      </c>
      <c r="C15" s="88">
        <v>74.850000000000009</v>
      </c>
    </row>
    <row r="16" spans="1:8" x14ac:dyDescent="0.25">
      <c r="A16" s="78" t="s">
        <v>72</v>
      </c>
      <c r="B16" s="74">
        <v>1.5</v>
      </c>
      <c r="C16" s="88">
        <v>91.125</v>
      </c>
    </row>
    <row r="17" spans="1:3" x14ac:dyDescent="0.25">
      <c r="A17" s="78" t="s">
        <v>48</v>
      </c>
      <c r="B17" s="74">
        <v>4</v>
      </c>
      <c r="C17" s="88">
        <v>62.400000000000006</v>
      </c>
    </row>
    <row r="18" spans="1:3" x14ac:dyDescent="0.25">
      <c r="A18" s="78" t="s">
        <v>34</v>
      </c>
      <c r="B18" s="74">
        <v>20</v>
      </c>
      <c r="C18" s="88">
        <v>81.320000000000007</v>
      </c>
    </row>
    <row r="19" spans="1:3" x14ac:dyDescent="0.25">
      <c r="A19" s="78" t="s">
        <v>38</v>
      </c>
      <c r="B19" s="74">
        <v>20</v>
      </c>
      <c r="C19" s="88">
        <v>1047.0000000000002</v>
      </c>
    </row>
    <row r="20" spans="1:3" x14ac:dyDescent="0.25">
      <c r="A20" s="78" t="s">
        <v>67</v>
      </c>
      <c r="B20" s="74">
        <v>2</v>
      </c>
      <c r="C20" s="88">
        <v>26.82</v>
      </c>
    </row>
    <row r="21" spans="1:3" x14ac:dyDescent="0.25">
      <c r="A21" s="78" t="s">
        <v>74</v>
      </c>
      <c r="B21" s="74">
        <v>6</v>
      </c>
      <c r="C21" s="88">
        <v>130.05000000000001</v>
      </c>
    </row>
    <row r="22" spans="1:3" x14ac:dyDescent="0.25">
      <c r="A22" s="78" t="s">
        <v>39</v>
      </c>
      <c r="B22" s="74">
        <v>12</v>
      </c>
      <c r="C22" s="88">
        <v>1720.7999999999997</v>
      </c>
    </row>
    <row r="23" spans="1:3" x14ac:dyDescent="0.25">
      <c r="A23" s="76">
        <v>42189</v>
      </c>
      <c r="B23" s="74">
        <v>21</v>
      </c>
      <c r="C23" s="88">
        <v>660.55250000000012</v>
      </c>
    </row>
    <row r="24" spans="1:3" x14ac:dyDescent="0.25">
      <c r="A24" s="78" t="s">
        <v>66</v>
      </c>
      <c r="B24" s="74">
        <v>1</v>
      </c>
      <c r="C24" s="88">
        <v>1.0924999999999998</v>
      </c>
    </row>
    <row r="25" spans="1:3" x14ac:dyDescent="0.25">
      <c r="A25" s="78" t="s">
        <v>49</v>
      </c>
      <c r="B25" s="74">
        <v>10</v>
      </c>
      <c r="C25" s="88">
        <v>71.100000000000009</v>
      </c>
    </row>
    <row r="26" spans="1:3" x14ac:dyDescent="0.25">
      <c r="A26" s="78" t="s">
        <v>37</v>
      </c>
      <c r="B26" s="74">
        <v>6</v>
      </c>
      <c r="C26" s="88">
        <v>572.40000000000009</v>
      </c>
    </row>
    <row r="27" spans="1:3" x14ac:dyDescent="0.25">
      <c r="A27" s="78" t="s">
        <v>43</v>
      </c>
      <c r="B27" s="74">
        <v>4</v>
      </c>
      <c r="C27" s="88">
        <v>15.96</v>
      </c>
    </row>
    <row r="28" spans="1:3" x14ac:dyDescent="0.25">
      <c r="A28" s="76">
        <v>42190</v>
      </c>
      <c r="B28" s="74">
        <v>45</v>
      </c>
      <c r="C28" s="88">
        <v>702.47700000000009</v>
      </c>
    </row>
    <row r="29" spans="1:3" x14ac:dyDescent="0.25">
      <c r="A29" s="78" t="s">
        <v>45</v>
      </c>
      <c r="B29" s="74">
        <v>1</v>
      </c>
      <c r="C29" s="88">
        <v>8.625</v>
      </c>
    </row>
    <row r="30" spans="1:3" x14ac:dyDescent="0.25">
      <c r="A30" s="78" t="s">
        <v>33</v>
      </c>
      <c r="B30" s="74">
        <v>20</v>
      </c>
      <c r="C30" s="88">
        <v>335.65200000000004</v>
      </c>
    </row>
    <row r="31" spans="1:3" x14ac:dyDescent="0.25">
      <c r="A31" s="78" t="s">
        <v>50</v>
      </c>
      <c r="B31" s="74">
        <v>24</v>
      </c>
      <c r="C31" s="88">
        <v>358.2</v>
      </c>
    </row>
    <row r="32" spans="1:3" x14ac:dyDescent="0.25">
      <c r="A32" s="76" t="s">
        <v>159</v>
      </c>
      <c r="B32" s="74">
        <v>161.5</v>
      </c>
      <c r="C32" s="88">
        <v>6576.3384999999998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A5B51-6982-4698-88EE-D969D92FB8F1}">
  <sheetPr codeName="Planilha13"/>
  <dimension ref="A3:I27"/>
  <sheetViews>
    <sheetView showGridLines="0" topLeftCell="A7" workbookViewId="0">
      <selection activeCell="C20" sqref="C20"/>
    </sheetView>
  </sheetViews>
  <sheetFormatPr defaultRowHeight="15" x14ac:dyDescent="0.25"/>
  <cols>
    <col min="1" max="1" width="18.140625" bestFit="1" customWidth="1"/>
    <col min="2" max="2" width="8.5703125" bestFit="1" customWidth="1"/>
    <col min="6" max="6" width="15.7109375" bestFit="1" customWidth="1"/>
    <col min="7" max="7" width="24" bestFit="1" customWidth="1"/>
    <col min="8" max="8" width="22.85546875" bestFit="1" customWidth="1"/>
    <col min="9" max="9" width="10.140625" customWidth="1"/>
  </cols>
  <sheetData>
    <row r="3" spans="1:9" x14ac:dyDescent="0.25">
      <c r="F3" t="s">
        <v>61</v>
      </c>
      <c r="G3" t="s">
        <v>62</v>
      </c>
      <c r="H3" t="s">
        <v>63</v>
      </c>
      <c r="I3" t="s">
        <v>60</v>
      </c>
    </row>
    <row r="4" spans="1:9" x14ac:dyDescent="0.25">
      <c r="A4" s="37" t="s">
        <v>117</v>
      </c>
      <c r="B4" s="37" t="s">
        <v>118</v>
      </c>
      <c r="F4" t="s">
        <v>36</v>
      </c>
      <c r="G4" s="8">
        <v>2.84</v>
      </c>
      <c r="H4" s="8">
        <v>2.99</v>
      </c>
      <c r="I4" t="s">
        <v>55</v>
      </c>
    </row>
    <row r="5" spans="1:9" x14ac:dyDescent="0.25">
      <c r="A5" s="35" t="s">
        <v>119</v>
      </c>
      <c r="B5" s="36">
        <v>5</v>
      </c>
      <c r="F5" t="s">
        <v>45</v>
      </c>
      <c r="G5" s="8">
        <v>1.06</v>
      </c>
      <c r="H5" s="8">
        <v>1.1499999999999999</v>
      </c>
      <c r="I5" t="s">
        <v>64</v>
      </c>
    </row>
    <row r="6" spans="1:9" x14ac:dyDescent="0.25">
      <c r="A6" s="35" t="s">
        <v>120</v>
      </c>
      <c r="B6" s="36">
        <v>0</v>
      </c>
      <c r="F6" t="s">
        <v>33</v>
      </c>
      <c r="G6" s="8">
        <v>2.34</v>
      </c>
      <c r="H6" s="8">
        <v>2.4900000000000002</v>
      </c>
      <c r="I6" t="s">
        <v>65</v>
      </c>
    </row>
    <row r="7" spans="1:9" x14ac:dyDescent="0.25">
      <c r="A7" s="35" t="s">
        <v>121</v>
      </c>
      <c r="B7" s="36">
        <v>6.5</v>
      </c>
      <c r="F7" t="s">
        <v>50</v>
      </c>
      <c r="G7" s="8">
        <v>1.85</v>
      </c>
      <c r="H7" s="8">
        <v>1.99</v>
      </c>
      <c r="I7" t="s">
        <v>64</v>
      </c>
    </row>
    <row r="8" spans="1:9" x14ac:dyDescent="0.25">
      <c r="A8" s="35" t="s">
        <v>122</v>
      </c>
      <c r="B8" s="36">
        <v>8</v>
      </c>
      <c r="F8" t="s">
        <v>66</v>
      </c>
      <c r="G8" s="8">
        <v>1.0900000000000001</v>
      </c>
      <c r="H8" s="8">
        <v>1.1499999999999999</v>
      </c>
      <c r="I8" t="s">
        <v>64</v>
      </c>
    </row>
    <row r="9" spans="1:9" x14ac:dyDescent="0.25">
      <c r="A9" s="35" t="s">
        <v>123</v>
      </c>
      <c r="B9" s="36">
        <v>6.5</v>
      </c>
      <c r="F9" t="s">
        <v>49</v>
      </c>
      <c r="G9" s="8">
        <v>0.74</v>
      </c>
      <c r="H9" s="8">
        <v>0.79</v>
      </c>
      <c r="I9" t="s">
        <v>64</v>
      </c>
    </row>
    <row r="10" spans="1:9" x14ac:dyDescent="0.25">
      <c r="F10" t="s">
        <v>37</v>
      </c>
      <c r="G10" s="8">
        <v>14.47</v>
      </c>
      <c r="H10" s="8">
        <v>15.9</v>
      </c>
      <c r="I10" t="s">
        <v>65</v>
      </c>
    </row>
    <row r="11" spans="1:9" x14ac:dyDescent="0.25">
      <c r="F11" t="s">
        <v>43</v>
      </c>
      <c r="G11" s="8">
        <v>3.63</v>
      </c>
      <c r="H11" s="8">
        <v>3.99</v>
      </c>
      <c r="I11" t="s">
        <v>65</v>
      </c>
    </row>
    <row r="12" spans="1:9" x14ac:dyDescent="0.25">
      <c r="F12" t="s">
        <v>46</v>
      </c>
      <c r="G12" s="8">
        <v>2.1</v>
      </c>
      <c r="H12" s="8">
        <v>2.19</v>
      </c>
      <c r="I12" t="s">
        <v>69</v>
      </c>
    </row>
    <row r="13" spans="1:9" x14ac:dyDescent="0.25">
      <c r="F13" t="s">
        <v>70</v>
      </c>
      <c r="G13" s="8">
        <v>4.54</v>
      </c>
      <c r="H13" s="8">
        <v>4.99</v>
      </c>
      <c r="I13" t="s">
        <v>71</v>
      </c>
    </row>
    <row r="14" spans="1:9" x14ac:dyDescent="0.25">
      <c r="F14" t="s">
        <v>72</v>
      </c>
      <c r="G14" s="8">
        <v>6.35</v>
      </c>
      <c r="H14" s="8">
        <v>6.75</v>
      </c>
      <c r="I14" t="s">
        <v>73</v>
      </c>
    </row>
    <row r="15" spans="1:9" x14ac:dyDescent="0.25">
      <c r="C15" s="38"/>
      <c r="F15" t="s">
        <v>48</v>
      </c>
      <c r="G15" s="8">
        <v>2.37</v>
      </c>
      <c r="H15" s="8">
        <v>2.6</v>
      </c>
      <c r="I15" t="s">
        <v>55</v>
      </c>
    </row>
    <row r="16" spans="1:9" x14ac:dyDescent="0.25">
      <c r="C16" s="38"/>
      <c r="F16" t="s">
        <v>34</v>
      </c>
      <c r="G16" s="8">
        <v>4.07</v>
      </c>
      <c r="H16" s="8">
        <v>4.28</v>
      </c>
      <c r="I16" t="s">
        <v>65</v>
      </c>
    </row>
    <row r="17" spans="3:9" x14ac:dyDescent="0.25">
      <c r="C17" s="38"/>
      <c r="F17" t="s">
        <v>38</v>
      </c>
      <c r="G17" s="8">
        <v>6.42</v>
      </c>
      <c r="H17" s="8">
        <v>6.98</v>
      </c>
      <c r="I17" t="s">
        <v>65</v>
      </c>
    </row>
    <row r="18" spans="3:9" x14ac:dyDescent="0.25">
      <c r="C18" s="38"/>
      <c r="F18" t="s">
        <v>67</v>
      </c>
      <c r="G18" s="8">
        <v>1.37</v>
      </c>
      <c r="H18" s="8">
        <v>1.49</v>
      </c>
      <c r="I18" t="s">
        <v>68</v>
      </c>
    </row>
    <row r="19" spans="3:9" x14ac:dyDescent="0.25">
      <c r="C19" s="38"/>
      <c r="F19" t="s">
        <v>74</v>
      </c>
      <c r="G19" s="8">
        <v>2.63</v>
      </c>
      <c r="H19" s="8">
        <v>2.89</v>
      </c>
      <c r="I19" t="s">
        <v>55</v>
      </c>
    </row>
    <row r="20" spans="3:9" x14ac:dyDescent="0.25">
      <c r="F20" t="s">
        <v>39</v>
      </c>
      <c r="G20" s="8">
        <v>22.23</v>
      </c>
      <c r="H20" s="8">
        <v>23.9</v>
      </c>
      <c r="I20" t="s">
        <v>65</v>
      </c>
    </row>
    <row r="21" spans="3:9" x14ac:dyDescent="0.25">
      <c r="F21" t="s">
        <v>40</v>
      </c>
      <c r="G21" s="8">
        <v>23.83</v>
      </c>
      <c r="H21" s="8">
        <v>25.9</v>
      </c>
      <c r="I21" t="s">
        <v>65</v>
      </c>
    </row>
    <row r="22" spans="3:9" x14ac:dyDescent="0.25">
      <c r="F22" t="s">
        <v>75</v>
      </c>
      <c r="G22" s="8">
        <v>2.17</v>
      </c>
      <c r="H22" s="8">
        <v>2.39</v>
      </c>
      <c r="I22" t="s">
        <v>68</v>
      </c>
    </row>
    <row r="23" spans="3:9" x14ac:dyDescent="0.25">
      <c r="F23" t="s">
        <v>42</v>
      </c>
      <c r="G23" s="8">
        <v>3.21</v>
      </c>
      <c r="H23" s="8">
        <v>3.45</v>
      </c>
      <c r="I23" t="s">
        <v>68</v>
      </c>
    </row>
    <row r="24" spans="3:9" x14ac:dyDescent="0.25">
      <c r="F24" t="s">
        <v>35</v>
      </c>
      <c r="G24" s="8">
        <v>5.35</v>
      </c>
      <c r="H24" s="8">
        <v>5.82</v>
      </c>
      <c r="I24" t="s">
        <v>65</v>
      </c>
    </row>
    <row r="25" spans="3:9" x14ac:dyDescent="0.25">
      <c r="F25" t="s">
        <v>44</v>
      </c>
      <c r="G25" s="8">
        <v>9.1</v>
      </c>
      <c r="H25" s="8">
        <v>9.58</v>
      </c>
      <c r="I25" t="s">
        <v>65</v>
      </c>
    </row>
    <row r="26" spans="3:9" x14ac:dyDescent="0.25">
      <c r="F26" t="s">
        <v>41</v>
      </c>
      <c r="G26" s="8">
        <v>26.01</v>
      </c>
      <c r="H26" s="8">
        <v>29.9</v>
      </c>
      <c r="I26" t="s">
        <v>76</v>
      </c>
    </row>
    <row r="27" spans="3:9" x14ac:dyDescent="0.25">
      <c r="F27" t="s">
        <v>47</v>
      </c>
      <c r="G27" s="8">
        <v>46.67</v>
      </c>
      <c r="H27" s="8">
        <v>54.9</v>
      </c>
      <c r="I27" t="s">
        <v>76</v>
      </c>
    </row>
  </sheetData>
  <autoFilter ref="F3:I3" xr:uid="{551D9FEE-0ED0-4EC9-BA43-AF175CC18389}">
    <sortState ref="F4:I27">
      <sortCondition ref="F3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Menu</vt:lpstr>
      <vt:lpstr>Despesas</vt:lpstr>
      <vt:lpstr>Mercadorias</vt:lpstr>
      <vt:lpstr>Investimento</vt:lpstr>
      <vt:lpstr>Estoque</vt:lpstr>
      <vt:lpstr>Resultados</vt:lpstr>
      <vt:lpstr>Vendas</vt:lpstr>
      <vt:lpstr>Semana 1</vt:lpstr>
      <vt:lpstr>Analise_1</vt:lpstr>
      <vt:lpstr>Semana 2</vt:lpstr>
      <vt:lpstr>Analise_2</vt:lpstr>
      <vt:lpstr>Semana 3</vt:lpstr>
      <vt:lpstr>Analise_3</vt:lpstr>
      <vt:lpstr>Semana 4</vt:lpstr>
      <vt:lpstr>Analise_4</vt:lpstr>
      <vt:lpstr>Semana 5</vt:lpstr>
      <vt:lpstr>Analise_5</vt:lpstr>
      <vt:lpstr>Calculos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</dc:creator>
  <cp:lastModifiedBy>Jonas</cp:lastModifiedBy>
  <dcterms:created xsi:type="dcterms:W3CDTF">2022-10-18T19:47:26Z</dcterms:created>
  <dcterms:modified xsi:type="dcterms:W3CDTF">2022-11-06T02:54:34Z</dcterms:modified>
</cp:coreProperties>
</file>